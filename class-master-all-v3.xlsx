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안내" sheetId="1" state="visible" r:id="rId1"/>
    <sheet xmlns:r="http://schemas.openxmlformats.org/officeDocument/2006/relationships" name="회차" sheetId="2" state="visible" r:id="rId2"/>
    <sheet xmlns:r="http://schemas.openxmlformats.org/officeDocument/2006/relationships" name="콘텐츠" sheetId="3" state="visible" r:id="rId3"/>
    <sheet xmlns:r="http://schemas.openxmlformats.org/officeDocument/2006/relationships" name="수강생" sheetId="4" state="visible" r:id="rId4"/>
    <sheet xmlns:r="http://schemas.openxmlformats.org/officeDocument/2006/relationships" name="발주"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31">
    <font>
      <name val="Calibri"/>
      <charset val="1"/>
      <family val="2"/>
      <color theme="1"/>
      <sz val="11"/>
    </font>
    <font>
      <name val="Arial"/>
      <family val="0"/>
      <sz val="10"/>
    </font>
    <font>
      <name val="Arial"/>
      <family val="0"/>
      <sz val="10"/>
    </font>
    <font>
      <name val="Arial"/>
      <family val="0"/>
      <sz val="10"/>
    </font>
    <font>
      <name val="Noto Sans CJK SC"/>
      <charset val="1"/>
      <family val="2"/>
      <b val="1"/>
      <color rgb="FFB4A032"/>
      <sz val="16"/>
    </font>
    <font>
      <name val="Noto Sans CJK SC"/>
      <charset val="1"/>
      <family val="2"/>
      <color rgb="FF888888"/>
      <sz val="9"/>
    </font>
    <font>
      <name val="Arial"/>
      <charset val="1"/>
      <family val="0"/>
      <color rgb="FF000000"/>
      <sz val="10"/>
    </font>
    <font>
      <name val="Noto Sans CJK SC"/>
      <charset val="1"/>
      <family val="2"/>
      <b val="1"/>
      <color rgb="FF000000"/>
      <sz val="11"/>
    </font>
    <font>
      <name val="Noto Sans CJK SC"/>
      <charset val="1"/>
      <family val="2"/>
      <color rgb="FF000000"/>
      <sz val="10"/>
    </font>
    <font>
      <name val="Noto Sans CJK SC"/>
      <charset val="1"/>
      <family val="2"/>
      <b val="1"/>
      <color rgb="FF2C7BB6"/>
      <sz val="11"/>
    </font>
    <font>
      <name val="Noto Sans CJK SC"/>
      <family val="2"/>
      <color rgb="FF000000"/>
      <sz val="10"/>
    </font>
    <font>
      <name val="Arial"/>
      <charset val="1"/>
      <family val="0"/>
      <color rgb="FFAAAAAA"/>
      <sz val="8"/>
    </font>
    <font>
      <name val="Arial"/>
      <charset val="1"/>
      <family val="0"/>
      <b val="1"/>
      <color rgb="FF000000"/>
      <sz val="11"/>
    </font>
    <font>
      <name val="Noto Sans CJK SC"/>
      <family val="2"/>
      <b val="1"/>
      <color rgb="FF000000"/>
      <sz val="11"/>
    </font>
    <font>
      <name val="Arial"/>
      <charset val="1"/>
      <family val="0"/>
      <color rgb="FFC2570E"/>
      <sz val="10"/>
    </font>
    <font>
      <name val="Noto Sans CJK SC"/>
      <family val="2"/>
      <color rgb="FFC2570E"/>
      <sz val="10"/>
    </font>
    <font>
      <name val="Arial"/>
      <charset val="1"/>
      <family val="0"/>
      <color rgb="FF2C7BB6"/>
      <sz val="10"/>
    </font>
    <font>
      <name val="Noto Sans CJK SC"/>
      <family val="2"/>
      <color rgb="FF2C7BB6"/>
      <sz val="10"/>
    </font>
    <font>
      <name val="Noto Sans CJK SC"/>
      <charset val="1"/>
      <family val="2"/>
      <b val="1"/>
      <color rgb="FFFFFFFF"/>
      <sz val="9"/>
    </font>
    <font>
      <name val="Arial"/>
      <charset val="1"/>
      <family val="0"/>
      <sz val="9"/>
    </font>
    <font>
      <name val="Arial"/>
      <charset val="1"/>
      <family val="0"/>
      <b val="1"/>
      <color rgb="FFFFFFFF"/>
      <sz val="9"/>
    </font>
    <font>
      <name val="Arial"/>
      <b val="1"/>
      <color rgb="00FFFFFF"/>
      <sz val="9"/>
    </font>
    <font>
      <name val="Arial"/>
      <sz val="8"/>
    </font>
    <font>
      <name val="Arial"/>
      <sz val="9"/>
    </font>
    <font>
      <name val="Arial"/>
      <b val="1"/>
      <color rgb="00000000"/>
      <sz val="11"/>
    </font>
    <font>
      <name val="Arial"/>
      <color rgb="00000000"/>
      <sz val="10"/>
    </font>
    <font>
      <name val="Arial"/>
      <color rgb="002C7BB6"/>
      <sz val="10"/>
    </font>
    <font>
      <name val="Arial"/>
      <color rgb="00C2570E"/>
      <sz val="10"/>
    </font>
    <font>
      <name val="Arial"/>
      <color rgb="006B6256"/>
      <sz val="10"/>
    </font>
    <font>
      <name val="Arial"/>
      <color rgb="009A8F7C"/>
      <sz val="10"/>
    </font>
    <font>
      <name val="Arial"/>
      <i val="1"/>
      <color rgb="009A8F7C"/>
      <sz val="8"/>
    </font>
  </fonts>
  <fills count="6">
    <fill>
      <patternFill/>
    </fill>
    <fill>
      <patternFill patternType="gray125"/>
    </fill>
    <fill>
      <patternFill patternType="solid">
        <fgColor rgb="FFB4A032"/>
        <bgColor rgb="FFAAAAAA"/>
      </patternFill>
    </fill>
    <fill>
      <patternFill patternType="solid">
        <fgColor rgb="FF2C7BB6"/>
        <bgColor rgb="FF0066CC"/>
      </patternFill>
    </fill>
    <fill>
      <patternFill patternType="solid">
        <fgColor rgb="FFEAF3FA"/>
        <bgColor rgb="FFFFFFFF"/>
      </patternFill>
    </fill>
    <fill>
      <patternFill patternType="solid">
        <fgColor rgb="00B4A032"/>
      </patternFill>
    </fill>
  </fills>
  <borders count="3">
    <border>
      <left/>
      <right/>
      <top/>
      <bottom/>
      <diagonal/>
    </border>
    <border>
      <left style="thin">
        <color rgb="FFC9BFAE"/>
      </left>
      <right style="thin">
        <color rgb="FFC9BFAE"/>
      </right>
      <top style="thin">
        <color rgb="FFC9BFAE"/>
      </top>
      <bottom style="thin">
        <color rgb="FFC9BFAE"/>
      </bottom>
      <diagonal/>
    </border>
    <border>
      <left style="thin">
        <color rgb="00C9BFAE"/>
      </left>
      <right style="thin">
        <color rgb="00C9BFAE"/>
      </right>
      <top style="thin">
        <color rgb="00C9BFAE"/>
      </top>
      <bottom style="thin">
        <color rgb="00C9BFAE"/>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general" vertical="bottom"/>
    </xf>
    <xf numFmtId="0" fontId="6" fillId="0" borderId="0" applyAlignment="1" pivotButton="0" quotePrefix="0" xfId="0">
      <alignment horizontal="general" vertical="bottom"/>
    </xf>
    <xf numFmtId="0" fontId="16" fillId="0" borderId="0" applyAlignment="1" pivotButton="0" quotePrefix="0" xfId="0">
      <alignment horizontal="general" vertical="bottom"/>
    </xf>
    <xf numFmtId="0" fontId="18" fillId="2" borderId="1" applyAlignment="1" pivotButton="0" quotePrefix="0" xfId="0">
      <alignment horizontal="center" vertical="center" wrapText="1"/>
    </xf>
    <xf numFmtId="0" fontId="18" fillId="3" borderId="1" applyAlignment="1" pivotButton="0" quotePrefix="0" xfId="0">
      <alignment horizontal="center" vertical="center" wrapText="1"/>
    </xf>
    <xf numFmtId="0" fontId="19" fillId="0" borderId="1" applyAlignment="1" pivotButton="0" quotePrefix="0" xfId="0">
      <alignment horizontal="general" vertical="center"/>
    </xf>
    <xf numFmtId="0" fontId="19" fillId="4" borderId="1" applyAlignment="1" pivotButton="0" quotePrefix="0" xfId="0">
      <alignment horizontal="general" vertical="center"/>
    </xf>
    <xf numFmtId="3" fontId="19" fillId="0" borderId="1" applyAlignment="1" pivotButton="0" quotePrefix="0" xfId="0">
      <alignment horizontal="general" vertical="center"/>
    </xf>
    <xf numFmtId="9" fontId="19" fillId="0" borderId="1" applyAlignment="1" pivotButton="0" quotePrefix="0" xfId="0">
      <alignment horizontal="general" vertical="center"/>
    </xf>
    <xf numFmtId="0" fontId="19" fillId="0" borderId="1" applyAlignment="1" pivotButton="0" quotePrefix="0" xfId="0">
      <alignment horizontal="general" vertical="top" wrapText="1"/>
    </xf>
    <xf numFmtId="0" fontId="20" fillId="2" borderId="1" applyAlignment="1" pivotButton="0" quotePrefix="0" xfId="0">
      <alignment horizontal="center" vertical="center" wrapText="1"/>
    </xf>
    <xf numFmtId="49" fontId="19" fillId="0" borderId="1" applyAlignment="1" pivotButton="0" quotePrefix="0" xfId="0">
      <alignment horizontal="general"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general" vertical="bottom"/>
    </xf>
    <xf numFmtId="0" fontId="16" fillId="0" borderId="0" applyAlignment="1" pivotButton="0" quotePrefix="0" xfId="0">
      <alignment horizontal="general" vertical="bottom"/>
    </xf>
    <xf numFmtId="0" fontId="18" fillId="2" borderId="1" applyAlignment="1" pivotButton="0" quotePrefix="0" xfId="0">
      <alignment horizontal="center" vertical="center" wrapText="1"/>
    </xf>
    <xf numFmtId="0" fontId="18" fillId="3" borderId="1" applyAlignment="1" pivotButton="0" quotePrefix="0" xfId="0">
      <alignment horizontal="center" vertical="center" wrapText="1"/>
    </xf>
    <xf numFmtId="0" fontId="19" fillId="0" borderId="1" applyAlignment="1" pivotButton="0" quotePrefix="0" xfId="0">
      <alignment horizontal="general" vertical="center"/>
    </xf>
    <xf numFmtId="0" fontId="19" fillId="4" borderId="1" applyAlignment="1" pivotButton="0" quotePrefix="0" xfId="0">
      <alignment horizontal="general" vertical="center"/>
    </xf>
    <xf numFmtId="3" fontId="19" fillId="0" borderId="1" applyAlignment="1" pivotButton="0" quotePrefix="0" xfId="0">
      <alignment horizontal="general" vertical="center"/>
    </xf>
    <xf numFmtId="9" fontId="19" fillId="0" borderId="1" applyAlignment="1" pivotButton="0" quotePrefix="0" xfId="0">
      <alignment horizontal="general" vertical="center"/>
    </xf>
    <xf numFmtId="0" fontId="19" fillId="0" borderId="1" applyAlignment="1" pivotButton="0" quotePrefix="0" xfId="0">
      <alignment horizontal="general" vertical="top" wrapText="1"/>
    </xf>
    <xf numFmtId="0" fontId="20" fillId="2" borderId="1" applyAlignment="1" pivotButton="0" quotePrefix="0" xfId="0">
      <alignment horizontal="center" vertical="center" wrapText="1"/>
    </xf>
    <xf numFmtId="49" fontId="19" fillId="0" borderId="1" applyAlignment="1" pivotButton="0" quotePrefix="0" xfId="0">
      <alignment horizontal="general" vertical="center"/>
    </xf>
    <xf numFmtId="0" fontId="21" fillId="5" borderId="2" applyAlignment="1" pivotButton="0" quotePrefix="0" xfId="0">
      <alignment horizontal="center" vertical="center" wrapText="1"/>
    </xf>
    <xf numFmtId="0" fontId="22" fillId="0" borderId="2" applyAlignment="1" pivotButton="0" quotePrefix="0" xfId="0">
      <alignment vertical="top"/>
    </xf>
    <xf numFmtId="0" fontId="23" fillId="0" borderId="2" applyAlignment="1" pivotButton="0" quotePrefix="0" xfId="0">
      <alignment vertical="top" wrapText="1"/>
    </xf>
    <xf numFmtId="0" fontId="24" fillId="0" borderId="0" pivotButton="0" quotePrefix="0" xfId="0"/>
    <xf numFmtId="0" fontId="25" fillId="0" borderId="0" pivotButton="0" quotePrefix="0" xfId="0"/>
    <xf numFmtId="0" fontId="26"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3" fillId="0" borderId="2" applyAlignment="1" pivotButton="0" quotePrefix="0" xfId="0">
      <alignment horizontal="center" vertical="center"/>
    </xf>
    <xf numFmtId="0" fontId="21" fillId="5" borderId="2" applyAlignment="1" pivotButton="0" quotePrefix="0" xfId="0">
      <alignment horizontal="center" vertical="center"/>
    </xf>
    <xf numFmtId="0" fontId="3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BFAE"/>
      <rgbColor rgb="FF888888"/>
      <rgbColor rgb="FF9999FF"/>
      <rgbColor rgb="FF993366"/>
      <rgbColor rgb="FFFFFFCC"/>
      <rgbColor rgb="FFEAF3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C7BB6"/>
      <rgbColor rgb="FF33CCCC"/>
      <rgbColor rgb="FFB4A032"/>
      <rgbColor rgb="FFFFCC00"/>
      <rgbColor rgb="FFFF9900"/>
      <rgbColor rgb="FFC2570E"/>
      <rgbColor rgb="FF666699"/>
      <rgbColor rgb="FFAAAAAA"/>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4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4" customWidth="1" style="23" min="1" max="1"/>
  </cols>
  <sheetData>
    <row r="1" ht="23.25" customHeight="1" s="24">
      <c r="A1" s="25" t="inlineStr">
        <is>
          <t>클래스 마스터 v2</t>
        </is>
      </c>
    </row>
    <row r="2" ht="13.5" customHeight="1" s="24">
      <c r="A2" s="26" t="inlineStr">
        <is>
          <t>주식회사 공공의주방 · ARCHIVEAT</t>
        </is>
      </c>
    </row>
    <row r="3" ht="15" customHeight="1" s="24">
      <c r="A3" s="27" t="n"/>
    </row>
    <row r="4" ht="16.5" customHeight="1" s="24">
      <c r="A4" s="28" t="inlineStr">
        <is>
          <t>■ 시트 구성 (회차ID로 연결)</t>
        </is>
      </c>
    </row>
    <row r="5" ht="15" customHeight="1" s="24">
      <c r="A5" s="29" t="inlineStr">
        <is>
          <t xml:space="preserve">  ① 회차   — 한 회차의 뼈대·모집·정산 (숫자·상태)</t>
        </is>
      </c>
    </row>
    <row r="6" ht="15" customHeight="1" s="24">
      <c r="A6" s="29" t="inlineStr">
        <is>
          <t xml:space="preserve">  ② 콘텐츠 — 채널로 나가는 긴 텍스트 (강의명·키트·강사 등)</t>
        </is>
      </c>
    </row>
    <row r="7" ht="15" customHeight="1" s="24">
      <c r="A7" s="29" t="inlineStr">
        <is>
          <t xml:space="preserve">  ③ 수강생 — 신청자 명단 (배송·개인정보)</t>
        </is>
      </c>
    </row>
    <row r="8" ht="15" customHeight="1" s="24">
      <c r="A8" s="29" t="inlineStr">
        <is>
          <t xml:space="preserve">  → 세 시트를 '회차ID'가 잇습니다. 같은 회차는 같은 ID를 쓰세요.</t>
        </is>
      </c>
    </row>
    <row r="9" ht="15" customHeight="1" s="24">
      <c r="A9" s="27" t="n"/>
    </row>
    <row r="10" ht="16.5" customHeight="1" s="24">
      <c r="A10" s="30" t="inlineStr">
        <is>
          <t>■ 자동계산 (파란 칸 — 손대지 마세요)</t>
        </is>
      </c>
    </row>
    <row r="11" ht="15" customHeight="1" s="24">
      <c r="A11" s="27" t="inlineStr">
        <is>
          <t xml:space="preserve">  · 신청인원 = 수강생 시트에서 그 회차ID 카운트</t>
        </is>
      </c>
    </row>
    <row r="12" ht="15" customHeight="1" s="24">
      <c r="A12" s="27" t="inlineStr">
        <is>
          <t xml:space="preserve">  · 개폐강   = 모집유형 A면 '확정', B면 신청≥최소 → 개강/미달</t>
        </is>
      </c>
    </row>
    <row r="13" ht="15" customHeight="1" s="24">
      <c r="A13" s="27" t="n"/>
    </row>
    <row r="14" ht="15" customHeight="1" s="24">
      <c r="A14" s="28" t="inlineStr">
        <is>
          <t>■ 코드값 규칙</t>
        </is>
      </c>
    </row>
    <row r="15" ht="15" customHeight="1" s="24">
      <c r="A15" s="27" t="inlineStr">
        <is>
          <t xml:space="preserve">  · 모집유형: A=사전확정(경기도지식 등) / B=모집확정(개별·갤러리아)</t>
        </is>
      </c>
    </row>
    <row r="16" ht="15" customHeight="1" s="24">
      <c r="A16" s="27" t="inlineStr">
        <is>
          <t xml:space="preserve">  · 정산구조: A=주최수금(우리 정산받음) / B=우리수금(에스크로)</t>
        </is>
      </c>
    </row>
    <row r="17" ht="15" customHeight="1" s="24">
      <c r="A17" s="27" t="inlineStr">
        <is>
          <t xml:space="preserve">  · 선생님정산방식: 인당1만(온라인) / 수수료%(오프라인)</t>
        </is>
      </c>
    </row>
    <row r="18" ht="15" customHeight="1" s="24">
      <c r="A18" s="27" t="inlineStr">
        <is>
          <t xml:space="preserve">  · 선생님유형: 개인(원천세 3.3%) / 사업자(세금계산서)</t>
        </is>
      </c>
    </row>
    <row r="19" ht="15" customHeight="1" s="24">
      <c r="A19" s="27" t="n"/>
    </row>
    <row r="20" ht="15" customHeight="1" s="24">
      <c r="A20" s="28" t="inlineStr">
        <is>
          <t>■ 입력 경로</t>
        </is>
      </c>
    </row>
    <row r="21" ht="15" customHeight="1" s="24">
      <c r="A21" s="27" t="inlineStr">
        <is>
          <t xml:space="preserve">  · 견적계산기(class-quote.html)에서 계산 → 복사 → 대화창 → 여기 기록</t>
        </is>
      </c>
    </row>
    <row r="22" ht="15" customHeight="1" s="24">
      <c r="A22" s="27" t="inlineStr">
        <is>
          <t xml:space="preserve">  · 재료비·수익·수익률은 계산기가 계산한 값을 그대로 저장</t>
        </is>
      </c>
    </row>
    <row r="23" ht="15" customHeight="1" s="24">
      <c r="A23" s="27" t="n"/>
    </row>
    <row r="24" ht="13.5" customHeight="1" s="24">
      <c r="A24" s="26" t="inlineStr">
        <is>
          <t>※ 이 파일(연락처·주소 포함 완전판)은 github에 올리지 않습니다. 드롭박스 백업.</t>
        </is>
      </c>
    </row>
    <row r="26" ht="15" customHeight="1" s="24">
      <c r="A26" s="31" t="inlineStr">
        <is>
          <t>v2 · 2026.07</t>
        </is>
      </c>
    </row>
    <row r="28" ht="16.5" customHeight="1" s="24">
      <c r="A28" s="32" t="inlineStr">
        <is>
          <t>■ v3 추가 (2026.07)</t>
        </is>
      </c>
    </row>
    <row r="29" ht="15" customHeight="1" s="24">
      <c r="A29" s="27" t="inlineStr">
        <is>
          <t xml:space="preserve">  · 콘텐츠: 재료구성(계산기 복사본 그대로) · 줌링크</t>
        </is>
      </c>
    </row>
    <row r="30" ht="15" customHeight="1" s="24">
      <c r="A30" s="33" t="inlineStr">
        <is>
          <t xml:space="preserve">  · 회차: 선생님은행·선생님계좌 — 개인정보라 화면(github)에 굽지 않음. 완전판에서만 확인.</t>
        </is>
      </c>
    </row>
    <row r="32" ht="17.15" customHeight="1" s="24">
      <c r="A32" s="34" t="inlineStr">
        <is>
          <t>■ 상태 흐름 (v3.1)</t>
        </is>
      </c>
    </row>
    <row r="33" ht="15" customHeight="1" s="24">
      <c r="A33" s="27" t="inlineStr">
        <is>
          <t xml:space="preserve">  A형(경기도지식): 기획중 → 확정 → 수업완료 → 정산완료</t>
        </is>
      </c>
    </row>
    <row r="34" ht="15" customHeight="1" s="24">
      <c r="A34" s="27" t="inlineStr">
        <is>
          <t xml:space="preserve">  B형(일반·갤러리아): 기획중 → 모집중 → 확정/미달 → 수업완료 → 정산완료</t>
        </is>
      </c>
    </row>
    <row r="35" ht="15" customHeight="1" s="24">
      <c r="A35" s="35" t="inlineStr">
        <is>
          <t xml:space="preserve">  · 개폐강(자동): A형=확정 / B형=신청&gt;=최소 '확정', 아니면 '미달'</t>
        </is>
      </c>
    </row>
    <row r="36" ht="15" customHeight="1" s="24">
      <c r="A36" s="27" t="inlineStr">
        <is>
          <t xml:space="preserve">  · 확정 = 수업 열림(A형 사전확정·B형 개강확정 통합)</t>
        </is>
      </c>
    </row>
    <row r="38">
      <c r="A38" s="48" t="inlineStr">
        <is>
          <t>■ 상태 3축 분리 (v3.2)</t>
        </is>
      </c>
    </row>
    <row r="39">
      <c r="A39" s="49" t="inlineStr">
        <is>
          <t xml:space="preserve">  ① 수업상태(34): 기획중→모집중→확정/미달→수업완료 (+보류)</t>
        </is>
      </c>
    </row>
    <row r="40">
      <c r="A40" s="50" t="inlineStr">
        <is>
          <t xml:space="preserve">  ② 입금상태(38): 입금대기→입금완료 (발주처→우리, 받을 돈)</t>
        </is>
      </c>
    </row>
    <row r="41">
      <c r="A41" s="51" t="inlineStr">
        <is>
          <t xml:space="preserve">  ③ 지급상태(39): 지급대기→지급완료 (우리→선생님, 줄 돈)</t>
        </is>
      </c>
    </row>
    <row r="42">
      <c r="A42" s="52" t="inlineStr">
        <is>
          <t xml:space="preserve">  · 기존 '정산완료' = 수업완료+입금완료+지급완료로 분리됨</t>
        </is>
      </c>
    </row>
    <row r="43">
      <c r="A43" s="53" t="inlineStr">
        <is>
          <t xml:space="preserve">  · 세금계산서 발행·원천세 신고는 추후 '정산 리포트'에서 관리(2단계)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N60"/>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9" customWidth="1" style="23" min="1" max="1"/>
    <col width="16" customWidth="1" style="23" min="2" max="2"/>
    <col width="12" customWidth="1" style="23" min="3" max="3"/>
    <col width="8" customWidth="1" style="23" min="4" max="4"/>
    <col width="11" customWidth="1" style="23" min="5" max="5"/>
    <col width="7" customWidth="1" style="23" min="6" max="6"/>
    <col width="20" customWidth="1" style="23" min="7" max="7"/>
    <col width="8" customWidth="1" style="23" min="8" max="12"/>
    <col width="11" customWidth="1" style="23" min="13" max="14"/>
    <col width="14" customWidth="1" style="23" min="15" max="15"/>
    <col width="10" customWidth="1" style="23" min="16" max="16"/>
    <col width="9" customWidth="1" style="23" min="17" max="18"/>
    <col width="10" customWidth="1" style="23" min="19" max="19"/>
    <col width="8" customWidth="1" style="23" min="20" max="22"/>
    <col width="10" customWidth="1" style="23" min="23" max="23"/>
    <col width="7" customWidth="1" style="23" min="24" max="24"/>
    <col width="9" customWidth="1" style="23" min="25" max="26"/>
    <col width="12" customWidth="1" style="23" min="27" max="27"/>
    <col width="7" customWidth="1" style="23" min="28" max="28"/>
    <col width="11" customWidth="1" style="23" min="29" max="29"/>
    <col width="14" customWidth="1" style="23" min="30" max="30"/>
    <col width="10" customWidth="1" style="23" min="31" max="31"/>
    <col width="11" customWidth="1" style="23" min="32" max="33"/>
    <col width="9" customWidth="1" style="23" min="34" max="34"/>
    <col width="16" customWidth="1" style="23" min="35" max="35"/>
    <col width="12" customWidth="1" style="23" min="36" max="36"/>
    <col width="18" customWidth="1" style="23" min="37" max="37"/>
    <col width="12" customWidth="1" style="24" min="38" max="38"/>
    <col width="12" customWidth="1" style="24" min="39" max="39"/>
  </cols>
  <sheetData>
    <row r="1" ht="30" customHeight="1" s="24">
      <c r="A1" s="36" t="inlineStr">
        <is>
          <t>회차ID</t>
        </is>
      </c>
      <c r="B1" s="36" t="inlineStr">
        <is>
          <t>수업명</t>
        </is>
      </c>
      <c r="C1" s="36" t="inlineStr">
        <is>
          <t>발주처</t>
        </is>
      </c>
      <c r="D1" s="36" t="inlineStr">
        <is>
          <t>구분</t>
        </is>
      </c>
      <c r="E1" s="36" t="inlineStr">
        <is>
          <t>수업일</t>
        </is>
      </c>
      <c r="F1" s="36" t="inlineStr">
        <is>
          <t>시각</t>
        </is>
      </c>
      <c r="G1" s="36" t="inlineStr">
        <is>
          <t>장소/배송</t>
        </is>
      </c>
      <c r="H1" s="36" t="inlineStr">
        <is>
          <t>모집유형</t>
        </is>
      </c>
      <c r="I1" s="36" t="inlineStr">
        <is>
          <t>최소인원</t>
        </is>
      </c>
      <c r="J1" s="36" t="inlineStr">
        <is>
          <t>최대인원</t>
        </is>
      </c>
      <c r="K1" s="37" t="inlineStr">
        <is>
          <t>신청인원</t>
        </is>
      </c>
      <c r="L1" s="37" t="inlineStr">
        <is>
          <t>개폐강</t>
        </is>
      </c>
      <c r="M1" s="36" t="inlineStr">
        <is>
          <t>확정기준일</t>
        </is>
      </c>
      <c r="N1" s="36" t="inlineStr">
        <is>
          <t>환불마감일</t>
        </is>
      </c>
      <c r="O1" s="36" t="inlineStr">
        <is>
          <t>환불규칙출처</t>
        </is>
      </c>
      <c r="P1" s="36" t="inlineStr">
        <is>
          <t>판매가</t>
        </is>
      </c>
      <c r="Q1" s="36" t="inlineStr">
        <is>
          <t>부가세구분</t>
        </is>
      </c>
      <c r="R1" s="36" t="inlineStr">
        <is>
          <t>정산구조</t>
        </is>
      </c>
      <c r="S1" s="36" t="inlineStr">
        <is>
          <t>재료비(1인)</t>
        </is>
      </c>
      <c r="T1" s="36" t="inlineStr">
        <is>
          <t>패킹비</t>
        </is>
      </c>
      <c r="U1" s="36" t="inlineStr">
        <is>
          <t>배송비</t>
        </is>
      </c>
      <c r="V1" s="36" t="inlineStr">
        <is>
          <t>강사비</t>
        </is>
      </c>
      <c r="W1" s="36" t="inlineStr">
        <is>
          <t>수익(1인)</t>
        </is>
      </c>
      <c r="X1" s="36" t="inlineStr">
        <is>
          <t>수익률</t>
        </is>
      </c>
      <c r="Y1" s="36" t="inlineStr">
        <is>
          <t>선생님</t>
        </is>
      </c>
      <c r="Z1" s="36" t="inlineStr">
        <is>
          <t>선생님유형</t>
        </is>
      </c>
      <c r="AA1" s="36" t="inlineStr">
        <is>
          <t>선생님정산방식</t>
        </is>
      </c>
      <c r="AB1" s="36" t="inlineStr">
        <is>
          <t>정산율</t>
        </is>
      </c>
      <c r="AC1" s="36" t="inlineStr">
        <is>
          <t>선생님정산액</t>
        </is>
      </c>
      <c r="AD1" s="36" t="inlineStr">
        <is>
          <t>세금계산서발행처</t>
        </is>
      </c>
      <c r="AE1" s="36" t="inlineStr">
        <is>
          <t>지급주체</t>
        </is>
      </c>
      <c r="AF1" s="36" t="inlineStr">
        <is>
          <t>지급시기</t>
        </is>
      </c>
      <c r="AG1" s="36" t="inlineStr">
        <is>
          <t>정산예정일</t>
        </is>
      </c>
      <c r="AH1" s="36" t="inlineStr">
        <is>
          <t>수업상태</t>
        </is>
      </c>
      <c r="AI1" s="36" t="inlineStr">
        <is>
          <t>비고</t>
        </is>
      </c>
      <c r="AJ1" s="36" t="inlineStr">
        <is>
          <t>선생님은행</t>
        </is>
      </c>
      <c r="AK1" s="36" t="inlineStr">
        <is>
          <t>선생님계좌</t>
        </is>
      </c>
      <c r="AL1" s="45" t="inlineStr">
        <is>
          <t>입금상태</t>
        </is>
      </c>
      <c r="AM1" s="45" t="inlineStr">
        <is>
          <t>지급상태</t>
        </is>
      </c>
      <c r="AN1" s="23" t="inlineStr">
        <is>
          <t>패킹파일</t>
        </is>
      </c>
    </row>
    <row r="2" ht="15" customHeight="1" s="24">
      <c r="A2" s="38" t="inlineStr">
        <is>
          <t>GS-2604</t>
        </is>
      </c>
      <c r="B2" s="38" t="inlineStr">
        <is>
          <t>냉이 꽃게탕</t>
        </is>
      </c>
      <c r="C2" s="38" t="inlineStr">
        <is>
          <t>경기도지식</t>
        </is>
      </c>
      <c r="D2" s="38" t="inlineStr">
        <is>
          <t>온라인</t>
        </is>
      </c>
      <c r="E2" s="38" t="inlineStr">
        <is>
          <t>2026-04-24</t>
        </is>
      </c>
      <c r="F2" s="38" t="inlineStr">
        <is>
          <t>16:00</t>
        </is>
      </c>
      <c r="G2" s="38" t="inlineStr">
        <is>
          <t>온라인 줌+배송</t>
        </is>
      </c>
      <c r="H2" s="38" t="inlineStr">
        <is>
          <t>A</t>
        </is>
      </c>
      <c r="I2" s="38" t="n">
        <v>30</v>
      </c>
      <c r="J2" s="38" t="n">
        <v>30</v>
      </c>
      <c r="K2" s="39">
        <f>IF($A2="","",COUNTIF(수강생!$A:$A,$A2))</f>
        <v/>
      </c>
      <c r="L2" s="39">
        <f>IF($A2="","",IF($H2="A","확정",IF(K2&gt;=I2,"확정","미달")))</f>
        <v/>
      </c>
      <c r="M2" s="38" t="n"/>
      <c r="N2" s="38" t="n"/>
      <c r="O2" s="38" t="n"/>
      <c r="P2" s="40" t="n">
        <v>50000</v>
      </c>
      <c r="Q2" s="38" t="inlineStr">
        <is>
          <t>포함</t>
        </is>
      </c>
      <c r="R2" s="38" t="inlineStr">
        <is>
          <t>A</t>
        </is>
      </c>
      <c r="S2" s="40" t="n">
        <v>15539</v>
      </c>
      <c r="T2" s="40" t="n">
        <v>5000</v>
      </c>
      <c r="U2" s="40" t="n">
        <v>5000</v>
      </c>
      <c r="V2" s="40" t="n">
        <v>10000</v>
      </c>
      <c r="W2" s="40" t="n">
        <v>9916</v>
      </c>
      <c r="X2" s="41" t="n">
        <v>0.218</v>
      </c>
      <c r="Y2" s="38" t="inlineStr">
        <is>
          <t>김은영</t>
        </is>
      </c>
      <c r="Z2" s="38" t="inlineStr">
        <is>
          <t>개인</t>
        </is>
      </c>
      <c r="AA2" s="38" t="inlineStr">
        <is>
          <t>인당1만</t>
        </is>
      </c>
      <c r="AB2" s="41" t="n"/>
      <c r="AC2" s="40" t="n">
        <v>300000</v>
      </c>
      <c r="AD2" s="38" t="inlineStr">
        <is>
          <t>휴넷</t>
        </is>
      </c>
      <c r="AE2" s="38" t="inlineStr">
        <is>
          <t>휴넷</t>
        </is>
      </c>
      <c r="AF2" s="38" t="inlineStr">
        <is>
          <t>익월 말일</t>
        </is>
      </c>
      <c r="AG2" s="38" t="inlineStr">
        <is>
          <t>2026-05-31</t>
        </is>
      </c>
      <c r="AH2" s="38" t="inlineStr">
        <is>
          <t>수업완료</t>
        </is>
      </c>
      <c r="AI2" s="38" t="inlineStr">
        <is>
          <t>2026.4.24(금) 16:00~17:30 · 경기도지식 온라인 · 정산완료</t>
        </is>
      </c>
      <c r="AJ2" s="42" t="n"/>
      <c r="AK2" s="42" t="n"/>
      <c r="AL2" s="54" t="inlineStr">
        <is>
          <t>입금완료</t>
        </is>
      </c>
      <c r="AM2" s="54" t="inlineStr">
        <is>
          <t>지급완료</t>
        </is>
      </c>
    </row>
    <row r="3" ht="15" customHeight="1" s="24">
      <c r="A3" s="38" t="inlineStr">
        <is>
          <t>GS-2607</t>
        </is>
      </c>
      <c r="B3" s="38" t="inlineStr">
        <is>
          <t>제철 복숭아로 만드는 복숭아청과 브리치즈 샐러드</t>
        </is>
      </c>
      <c r="C3" s="38" t="inlineStr">
        <is>
          <t>경기도지식</t>
        </is>
      </c>
      <c r="D3" s="38" t="inlineStr">
        <is>
          <t>온라인</t>
        </is>
      </c>
      <c r="E3" s="38" t="inlineStr">
        <is>
          <t>2026-07-24</t>
        </is>
      </c>
      <c r="F3" s="38" t="inlineStr">
        <is>
          <t>16:00</t>
        </is>
      </c>
      <c r="G3" s="38" t="inlineStr">
        <is>
          <t>온라인 줌+배송</t>
        </is>
      </c>
      <c r="H3" s="38" t="inlineStr">
        <is>
          <t>A</t>
        </is>
      </c>
      <c r="I3" s="38" t="n">
        <v>30</v>
      </c>
      <c r="J3" s="38" t="n">
        <v>30</v>
      </c>
      <c r="K3" s="39">
        <f>IF($A3="","",COUNTIF(수강생!$A:$A,$A3))</f>
        <v/>
      </c>
      <c r="L3" s="39">
        <f>IF($A3="","",IF($H3="A","확정",IF(K3&gt;=I3,"확정","미달")))</f>
        <v/>
      </c>
      <c r="M3" s="38" t="n"/>
      <c r="N3" s="38" t="n"/>
      <c r="O3" s="38" t="n"/>
      <c r="P3" s="40" t="n">
        <v>50000</v>
      </c>
      <c r="Q3" s="38" t="inlineStr">
        <is>
          <t>포함</t>
        </is>
      </c>
      <c r="R3" s="38" t="inlineStr">
        <is>
          <t>A</t>
        </is>
      </c>
      <c r="S3" s="40" t="n">
        <v>10041</v>
      </c>
      <c r="T3" s="40" t="n">
        <v>5000</v>
      </c>
      <c r="U3" s="40" t="n">
        <v>5000</v>
      </c>
      <c r="V3" s="40" t="n">
        <v>10000</v>
      </c>
      <c r="W3" s="40" t="n">
        <v>15414</v>
      </c>
      <c r="X3" s="41" t="n">
        <v>0.339</v>
      </c>
      <c r="Y3" s="38" t="inlineStr">
        <is>
          <t>이영미</t>
        </is>
      </c>
      <c r="Z3" s="38" t="inlineStr">
        <is>
          <t>개인</t>
        </is>
      </c>
      <c r="AA3" s="38" t="inlineStr">
        <is>
          <t>인당1만</t>
        </is>
      </c>
      <c r="AB3" s="41" t="n"/>
      <c r="AC3" s="40" t="n">
        <v>300000</v>
      </c>
      <c r="AD3" s="38" t="inlineStr">
        <is>
          <t>휴넷</t>
        </is>
      </c>
      <c r="AE3" s="38" t="inlineStr">
        <is>
          <t>휴넷</t>
        </is>
      </c>
      <c r="AF3" s="38" t="inlineStr">
        <is>
          <t>익월 말일</t>
        </is>
      </c>
      <c r="AG3" s="38" t="n"/>
      <c r="AH3" s="38" t="inlineStr">
        <is>
          <t>확정</t>
        </is>
      </c>
      <c r="AI3" s="38" t="inlineStr">
        <is>
          <t>경기도지식 온라인·7/24(금)16:00·재료비10,041(엑셀 검산완료)·판매가50,000(부가세포함)·수익률33.9% | 발주·패킹 31세트 = 수강생 30 + 선생님(이영미) 1 / 회차 최소·최대 30명은 수강생 기준</t>
        </is>
      </c>
      <c r="AJ3" s="42" t="n"/>
      <c r="AK3" s="42" t="n"/>
      <c r="AL3" s="54" t="inlineStr">
        <is>
          <t>입금대기</t>
        </is>
      </c>
      <c r="AM3" s="54" t="inlineStr">
        <is>
          <t>지급대기</t>
        </is>
      </c>
      <c r="AN3" s="23" t="inlineStr">
        <is>
          <t>class-pack-GS2607.html</t>
        </is>
      </c>
    </row>
    <row r="4" ht="15" customHeight="1" s="24">
      <c r="A4" s="38" t="n"/>
      <c r="B4" s="38" t="n"/>
      <c r="C4" s="38" t="n"/>
      <c r="D4" s="38" t="n"/>
      <c r="E4" s="38" t="n"/>
      <c r="F4" s="38" t="n"/>
      <c r="G4" s="38" t="n"/>
      <c r="H4" s="38" t="n"/>
      <c r="I4" s="38" t="n"/>
      <c r="J4" s="38" t="n"/>
      <c r="K4" s="39">
        <f>IF($A4="","",COUNTIF(수강생!$A:$A,$A4))</f>
        <v/>
      </c>
      <c r="L4" s="39">
        <f>IF($A4="","",IF($H4="A","확정",IF(K4&gt;=I4,"확정","미달")))</f>
        <v/>
      </c>
      <c r="M4" s="38" t="n"/>
      <c r="N4" s="38" t="n"/>
      <c r="O4" s="38" t="n"/>
      <c r="P4" s="40" t="n"/>
      <c r="Q4" s="38" t="n"/>
      <c r="R4" s="38" t="n"/>
      <c r="S4" s="40" t="n"/>
      <c r="T4" s="40" t="n"/>
      <c r="U4" s="40" t="n"/>
      <c r="V4" s="40" t="n"/>
      <c r="W4" s="40" t="n"/>
      <c r="X4" s="41" t="n"/>
      <c r="Y4" s="38" t="n"/>
      <c r="Z4" s="38" t="n"/>
      <c r="AA4" s="38" t="n"/>
      <c r="AB4" s="41" t="n"/>
      <c r="AC4" s="40" t="n"/>
      <c r="AD4" s="38" t="n"/>
      <c r="AE4" s="38" t="n"/>
      <c r="AF4" s="38" t="n"/>
      <c r="AG4" s="38" t="n"/>
      <c r="AH4" s="38" t="n"/>
      <c r="AI4" s="38" t="n"/>
      <c r="AJ4" s="42" t="n"/>
      <c r="AK4" s="42" t="n"/>
      <c r="AL4" s="54" t="n"/>
      <c r="AM4" s="54" t="n"/>
    </row>
    <row r="5" ht="15" customHeight="1" s="24">
      <c r="A5" s="38" t="n"/>
      <c r="B5" s="38" t="n"/>
      <c r="C5" s="38" t="n"/>
      <c r="D5" s="38" t="n"/>
      <c r="E5" s="38" t="n"/>
      <c r="F5" s="38" t="n"/>
      <c r="G5" s="38" t="n"/>
      <c r="H5" s="38" t="n"/>
      <c r="I5" s="38" t="n"/>
      <c r="J5" s="38" t="n"/>
      <c r="K5" s="39">
        <f>IF($A5="","",COUNTIF(수강생!$A:$A,$A5))</f>
        <v/>
      </c>
      <c r="L5" s="39">
        <f>IF($A5="","",IF($H5="A","확정",IF(K5&gt;=I5,"확정","미달")))</f>
        <v/>
      </c>
      <c r="M5" s="38" t="n"/>
      <c r="N5" s="38" t="n"/>
      <c r="O5" s="38" t="n"/>
      <c r="P5" s="40" t="n"/>
      <c r="Q5" s="38" t="n"/>
      <c r="R5" s="38" t="n"/>
      <c r="S5" s="40" t="n"/>
      <c r="T5" s="40" t="n"/>
      <c r="U5" s="40" t="n"/>
      <c r="V5" s="40" t="n"/>
      <c r="W5" s="40" t="n"/>
      <c r="X5" s="41" t="n"/>
      <c r="Y5" s="38" t="n"/>
      <c r="Z5" s="38" t="n"/>
      <c r="AA5" s="38" t="n"/>
      <c r="AB5" s="41" t="n"/>
      <c r="AC5" s="40" t="n"/>
      <c r="AD5" s="38" t="n"/>
      <c r="AE5" s="38" t="n"/>
      <c r="AF5" s="38" t="n"/>
      <c r="AG5" s="38" t="n"/>
      <c r="AH5" s="38" t="n"/>
      <c r="AI5" s="38" t="n"/>
      <c r="AJ5" s="42" t="n"/>
      <c r="AK5" s="42" t="n"/>
      <c r="AL5" s="54" t="n"/>
      <c r="AM5" s="54" t="n"/>
    </row>
    <row r="6" ht="15" customHeight="1" s="24">
      <c r="A6" s="38" t="n"/>
      <c r="B6" s="38" t="n"/>
      <c r="C6" s="38" t="n"/>
      <c r="D6" s="38" t="n"/>
      <c r="E6" s="38" t="n"/>
      <c r="F6" s="38" t="n"/>
      <c r="G6" s="38" t="n"/>
      <c r="H6" s="38" t="n"/>
      <c r="I6" s="38" t="n"/>
      <c r="J6" s="38" t="n"/>
      <c r="K6" s="39">
        <f>IF($A6="","",COUNTIF(수강생!$A:$A,$A6))</f>
        <v/>
      </c>
      <c r="L6" s="39">
        <f>IF($A6="","",IF($H6="A","확정",IF(K6&gt;=I6,"확정","미달")))</f>
        <v/>
      </c>
      <c r="M6" s="38" t="n"/>
      <c r="N6" s="38" t="n"/>
      <c r="O6" s="38" t="n"/>
      <c r="P6" s="40" t="n"/>
      <c r="Q6" s="38" t="n"/>
      <c r="R6" s="38" t="n"/>
      <c r="S6" s="40" t="n"/>
      <c r="T6" s="40" t="n"/>
      <c r="U6" s="40" t="n"/>
      <c r="V6" s="40" t="n"/>
      <c r="W6" s="40" t="n"/>
      <c r="X6" s="41" t="n"/>
      <c r="Y6" s="38" t="n"/>
      <c r="Z6" s="38" t="n"/>
      <c r="AA6" s="38" t="n"/>
      <c r="AB6" s="41" t="n"/>
      <c r="AC6" s="40" t="n"/>
      <c r="AD6" s="38" t="n"/>
      <c r="AE6" s="38" t="n"/>
      <c r="AF6" s="38" t="n"/>
      <c r="AG6" s="38" t="n"/>
      <c r="AH6" s="38" t="n"/>
      <c r="AI6" s="38" t="n"/>
      <c r="AJ6" s="42" t="n"/>
      <c r="AK6" s="42" t="n"/>
      <c r="AL6" s="54" t="n"/>
      <c r="AM6" s="54" t="n"/>
    </row>
    <row r="7" ht="15" customHeight="1" s="24">
      <c r="A7" s="38" t="n"/>
      <c r="B7" s="38" t="n"/>
      <c r="C7" s="38" t="n"/>
      <c r="D7" s="38" t="n"/>
      <c r="E7" s="38" t="n"/>
      <c r="F7" s="38" t="n"/>
      <c r="G7" s="38" t="n"/>
      <c r="H7" s="38" t="n"/>
      <c r="I7" s="38" t="n"/>
      <c r="J7" s="38" t="n"/>
      <c r="K7" s="39">
        <f>IF($A7="","",COUNTIF(수강생!$A:$A,$A7))</f>
        <v/>
      </c>
      <c r="L7" s="39">
        <f>IF($A7="","",IF($H7="A","확정",IF(K7&gt;=I7,"확정","미달")))</f>
        <v/>
      </c>
      <c r="M7" s="38" t="n"/>
      <c r="N7" s="38" t="n"/>
      <c r="O7" s="38" t="n"/>
      <c r="P7" s="40" t="n"/>
      <c r="Q7" s="38" t="n"/>
      <c r="R7" s="38" t="n"/>
      <c r="S7" s="40" t="n"/>
      <c r="T7" s="40" t="n"/>
      <c r="U7" s="40" t="n"/>
      <c r="V7" s="40" t="n"/>
      <c r="W7" s="40" t="n"/>
      <c r="X7" s="41" t="n"/>
      <c r="Y7" s="38" t="n"/>
      <c r="Z7" s="38" t="n"/>
      <c r="AA7" s="38" t="n"/>
      <c r="AB7" s="41" t="n"/>
      <c r="AC7" s="40" t="n"/>
      <c r="AD7" s="38" t="n"/>
      <c r="AE7" s="38" t="n"/>
      <c r="AF7" s="38" t="n"/>
      <c r="AG7" s="38" t="n"/>
      <c r="AH7" s="38" t="n"/>
      <c r="AI7" s="38" t="n"/>
      <c r="AJ7" s="42" t="n"/>
      <c r="AK7" s="42" t="n"/>
      <c r="AL7" s="54" t="n"/>
      <c r="AM7" s="54" t="n"/>
    </row>
    <row r="8" ht="15" customHeight="1" s="24">
      <c r="A8" s="38" t="n"/>
      <c r="B8" s="38" t="n"/>
      <c r="C8" s="38" t="n"/>
      <c r="D8" s="38" t="n"/>
      <c r="E8" s="38" t="n"/>
      <c r="F8" s="38" t="n"/>
      <c r="G8" s="38" t="n"/>
      <c r="H8" s="38" t="n"/>
      <c r="I8" s="38" t="n"/>
      <c r="J8" s="38" t="n"/>
      <c r="K8" s="39">
        <f>IF($A8="","",COUNTIF(수강생!$A:$A,$A8))</f>
        <v/>
      </c>
      <c r="L8" s="39">
        <f>IF($A8="","",IF($H8="A","확정",IF(K8&gt;=I8,"확정","미달")))</f>
        <v/>
      </c>
      <c r="M8" s="38" t="n"/>
      <c r="N8" s="38" t="n"/>
      <c r="O8" s="38" t="n"/>
      <c r="P8" s="40" t="n"/>
      <c r="Q8" s="38" t="n"/>
      <c r="R8" s="38" t="n"/>
      <c r="S8" s="40" t="n"/>
      <c r="T8" s="40" t="n"/>
      <c r="U8" s="40" t="n"/>
      <c r="V8" s="40" t="n"/>
      <c r="W8" s="40" t="n"/>
      <c r="X8" s="41" t="n"/>
      <c r="Y8" s="38" t="n"/>
      <c r="Z8" s="38" t="n"/>
      <c r="AA8" s="38" t="n"/>
      <c r="AB8" s="41" t="n"/>
      <c r="AC8" s="40" t="n"/>
      <c r="AD8" s="38" t="n"/>
      <c r="AE8" s="38" t="n"/>
      <c r="AF8" s="38" t="n"/>
      <c r="AG8" s="38" t="n"/>
      <c r="AH8" s="38" t="n"/>
      <c r="AI8" s="38" t="n"/>
      <c r="AJ8" s="42" t="n"/>
      <c r="AK8" s="42" t="n"/>
      <c r="AL8" s="54" t="n"/>
      <c r="AM8" s="54" t="n"/>
    </row>
    <row r="9" ht="15" customHeight="1" s="24">
      <c r="A9" s="38" t="n"/>
      <c r="B9" s="38" t="n"/>
      <c r="C9" s="38" t="n"/>
      <c r="D9" s="38" t="n"/>
      <c r="E9" s="38" t="n"/>
      <c r="F9" s="38" t="n"/>
      <c r="G9" s="38" t="n"/>
      <c r="H9" s="38" t="n"/>
      <c r="I9" s="38" t="n"/>
      <c r="J9" s="38" t="n"/>
      <c r="K9" s="39">
        <f>IF($A9="","",COUNTIF(수강생!$A:$A,$A9))</f>
        <v/>
      </c>
      <c r="L9" s="39">
        <f>IF($A9="","",IF($H9="A","확정",IF(K9&gt;=I9,"확정","미달")))</f>
        <v/>
      </c>
      <c r="M9" s="38" t="n"/>
      <c r="N9" s="38" t="n"/>
      <c r="O9" s="38" t="n"/>
      <c r="P9" s="40" t="n"/>
      <c r="Q9" s="38" t="n"/>
      <c r="R9" s="38" t="n"/>
      <c r="S9" s="40" t="n"/>
      <c r="T9" s="40" t="n"/>
      <c r="U9" s="40" t="n"/>
      <c r="V9" s="40" t="n"/>
      <c r="W9" s="40" t="n"/>
      <c r="X9" s="41" t="n"/>
      <c r="Y9" s="38" t="n"/>
      <c r="Z9" s="38" t="n"/>
      <c r="AA9" s="38" t="n"/>
      <c r="AB9" s="41" t="n"/>
      <c r="AC9" s="40" t="n"/>
      <c r="AD9" s="38" t="n"/>
      <c r="AE9" s="38" t="n"/>
      <c r="AF9" s="38" t="n"/>
      <c r="AG9" s="38" t="n"/>
      <c r="AH9" s="38" t="n"/>
      <c r="AI9" s="38" t="n"/>
      <c r="AJ9" s="42" t="n"/>
      <c r="AK9" s="42" t="n"/>
      <c r="AL9" s="54" t="n"/>
      <c r="AM9" s="54" t="n"/>
    </row>
    <row r="10" ht="15" customHeight="1" s="24">
      <c r="A10" s="38" t="n"/>
      <c r="B10" s="38" t="n"/>
      <c r="C10" s="38" t="n"/>
      <c r="D10" s="38" t="n"/>
      <c r="E10" s="38" t="n"/>
      <c r="F10" s="38" t="n"/>
      <c r="G10" s="38" t="n"/>
      <c r="H10" s="38" t="n"/>
      <c r="I10" s="38" t="n"/>
      <c r="J10" s="38" t="n"/>
      <c r="K10" s="39">
        <f>IF($A10="","",COUNTIF(수강생!$A:$A,$A10))</f>
        <v/>
      </c>
      <c r="L10" s="39">
        <f>IF($A10="","",IF($H10="A","확정",IF(K10&gt;=I10,"확정","미달")))</f>
        <v/>
      </c>
      <c r="M10" s="38" t="n"/>
      <c r="N10" s="38" t="n"/>
      <c r="O10" s="38" t="n"/>
      <c r="P10" s="40" t="n"/>
      <c r="Q10" s="38" t="n"/>
      <c r="R10" s="38" t="n"/>
      <c r="S10" s="40" t="n"/>
      <c r="T10" s="40" t="n"/>
      <c r="U10" s="40" t="n"/>
      <c r="V10" s="40" t="n"/>
      <c r="W10" s="40" t="n"/>
      <c r="X10" s="41" t="n"/>
      <c r="Y10" s="38" t="n"/>
      <c r="Z10" s="38" t="n"/>
      <c r="AA10" s="38" t="n"/>
      <c r="AB10" s="41" t="n"/>
      <c r="AC10" s="40" t="n"/>
      <c r="AD10" s="38" t="n"/>
      <c r="AE10" s="38" t="n"/>
      <c r="AF10" s="38" t="n"/>
      <c r="AG10" s="38" t="n"/>
      <c r="AH10" s="38" t="n"/>
      <c r="AI10" s="38" t="n"/>
      <c r="AJ10" s="42" t="n"/>
      <c r="AK10" s="42" t="n"/>
      <c r="AL10" s="54" t="n"/>
      <c r="AM10" s="54" t="n"/>
    </row>
    <row r="11" ht="15" customHeight="1" s="24">
      <c r="A11" s="38" t="n"/>
      <c r="B11" s="38" t="n"/>
      <c r="C11" s="38" t="n"/>
      <c r="D11" s="38" t="n"/>
      <c r="E11" s="38" t="n"/>
      <c r="F11" s="38" t="n"/>
      <c r="G11" s="38" t="n"/>
      <c r="H11" s="38" t="n"/>
      <c r="I11" s="38" t="n"/>
      <c r="J11" s="38" t="n"/>
      <c r="K11" s="39">
        <f>IF($A11="","",COUNTIF(수강생!$A:$A,$A11))</f>
        <v/>
      </c>
      <c r="L11" s="39">
        <f>IF($A11="","",IF($H11="A","확정",IF(K11&gt;=I11,"확정","미달")))</f>
        <v/>
      </c>
      <c r="M11" s="38" t="n"/>
      <c r="N11" s="38" t="n"/>
      <c r="O11" s="38" t="n"/>
      <c r="P11" s="40" t="n"/>
      <c r="Q11" s="38" t="n"/>
      <c r="R11" s="38" t="n"/>
      <c r="S11" s="40" t="n"/>
      <c r="T11" s="40" t="n"/>
      <c r="U11" s="40" t="n"/>
      <c r="V11" s="40" t="n"/>
      <c r="W11" s="40" t="n"/>
      <c r="X11" s="41" t="n"/>
      <c r="Y11" s="38" t="n"/>
      <c r="Z11" s="38" t="n"/>
      <c r="AA11" s="38" t="n"/>
      <c r="AB11" s="41" t="n"/>
      <c r="AC11" s="40" t="n"/>
      <c r="AD11" s="38" t="n"/>
      <c r="AE11" s="38" t="n"/>
      <c r="AF11" s="38" t="n"/>
      <c r="AG11" s="38" t="n"/>
      <c r="AH11" s="38" t="n"/>
      <c r="AI11" s="38" t="n"/>
      <c r="AJ11" s="42" t="n"/>
      <c r="AK11" s="42" t="n"/>
      <c r="AL11" s="54" t="n"/>
      <c r="AM11" s="54" t="n"/>
    </row>
    <row r="12" ht="15" customHeight="1" s="24">
      <c r="A12" s="38" t="n"/>
      <c r="B12" s="38" t="n"/>
      <c r="C12" s="38" t="n"/>
      <c r="D12" s="38" t="n"/>
      <c r="E12" s="38" t="n"/>
      <c r="F12" s="38" t="n"/>
      <c r="G12" s="38" t="n"/>
      <c r="H12" s="38" t="n"/>
      <c r="I12" s="38" t="n"/>
      <c r="J12" s="38" t="n"/>
      <c r="K12" s="39">
        <f>IF($A12="","",COUNTIF(수강생!$A:$A,$A12))</f>
        <v/>
      </c>
      <c r="L12" s="39">
        <f>IF($A12="","",IF($H12="A","확정",IF(K12&gt;=I12,"확정","미달")))</f>
        <v/>
      </c>
      <c r="M12" s="38" t="n"/>
      <c r="N12" s="38" t="n"/>
      <c r="O12" s="38" t="n"/>
      <c r="P12" s="40" t="n"/>
      <c r="Q12" s="38" t="n"/>
      <c r="R12" s="38" t="n"/>
      <c r="S12" s="40" t="n"/>
      <c r="T12" s="40" t="n"/>
      <c r="U12" s="40" t="n"/>
      <c r="V12" s="40" t="n"/>
      <c r="W12" s="40" t="n"/>
      <c r="X12" s="41" t="n"/>
      <c r="Y12" s="38" t="n"/>
      <c r="Z12" s="38" t="n"/>
      <c r="AA12" s="38" t="n"/>
      <c r="AB12" s="41" t="n"/>
      <c r="AC12" s="40" t="n"/>
      <c r="AD12" s="38" t="n"/>
      <c r="AE12" s="38" t="n"/>
      <c r="AF12" s="38" t="n"/>
      <c r="AG12" s="38" t="n"/>
      <c r="AH12" s="38" t="n"/>
      <c r="AI12" s="38" t="n"/>
      <c r="AJ12" s="42" t="n"/>
      <c r="AK12" s="42" t="n"/>
      <c r="AL12" s="54" t="n"/>
      <c r="AM12" s="54" t="n"/>
    </row>
    <row r="13" ht="15" customHeight="1" s="24">
      <c r="A13" s="38" t="n"/>
      <c r="B13" s="38" t="n"/>
      <c r="C13" s="38" t="n"/>
      <c r="D13" s="38" t="n"/>
      <c r="E13" s="38" t="n"/>
      <c r="F13" s="38" t="n"/>
      <c r="G13" s="38" t="n"/>
      <c r="H13" s="38" t="n"/>
      <c r="I13" s="38" t="n"/>
      <c r="J13" s="38" t="n"/>
      <c r="K13" s="39">
        <f>IF($A13="","",COUNTIF(수강생!$A:$A,$A13))</f>
        <v/>
      </c>
      <c r="L13" s="39">
        <f>IF($A13="","",IF($H13="A","확정",IF(K13&gt;=I13,"확정","미달")))</f>
        <v/>
      </c>
      <c r="M13" s="38" t="n"/>
      <c r="N13" s="38" t="n"/>
      <c r="O13" s="38" t="n"/>
      <c r="P13" s="40" t="n"/>
      <c r="Q13" s="38" t="n"/>
      <c r="R13" s="38" t="n"/>
      <c r="S13" s="40" t="n"/>
      <c r="T13" s="40" t="n"/>
      <c r="U13" s="40" t="n"/>
      <c r="V13" s="40" t="n"/>
      <c r="W13" s="40" t="n"/>
      <c r="X13" s="41" t="n"/>
      <c r="Y13" s="38" t="n"/>
      <c r="Z13" s="38" t="n"/>
      <c r="AA13" s="38" t="n"/>
      <c r="AB13" s="41" t="n"/>
      <c r="AC13" s="40" t="n"/>
      <c r="AD13" s="38" t="n"/>
      <c r="AE13" s="38" t="n"/>
      <c r="AF13" s="38" t="n"/>
      <c r="AG13" s="38" t="n"/>
      <c r="AH13" s="38" t="n"/>
      <c r="AI13" s="38" t="n"/>
      <c r="AJ13" s="42" t="n"/>
      <c r="AK13" s="42" t="n"/>
      <c r="AL13" s="54" t="n"/>
      <c r="AM13" s="54" t="n"/>
    </row>
    <row r="14" ht="15" customHeight="1" s="24">
      <c r="A14" s="38" t="n"/>
      <c r="B14" s="38" t="n"/>
      <c r="C14" s="38" t="n"/>
      <c r="D14" s="38" t="n"/>
      <c r="E14" s="38" t="n"/>
      <c r="F14" s="38" t="n"/>
      <c r="G14" s="38" t="n"/>
      <c r="H14" s="38" t="n"/>
      <c r="I14" s="38" t="n"/>
      <c r="J14" s="38" t="n"/>
      <c r="K14" s="39">
        <f>IF($A14="","",COUNTIF(수강생!$A:$A,$A14))</f>
        <v/>
      </c>
      <c r="L14" s="39">
        <f>IF($A14="","",IF($H14="A","확정",IF(K14&gt;=I14,"확정","미달")))</f>
        <v/>
      </c>
      <c r="M14" s="38" t="n"/>
      <c r="N14" s="38" t="n"/>
      <c r="O14" s="38" t="n"/>
      <c r="P14" s="40" t="n"/>
      <c r="Q14" s="38" t="n"/>
      <c r="R14" s="38" t="n"/>
      <c r="S14" s="40" t="n"/>
      <c r="T14" s="40" t="n"/>
      <c r="U14" s="40" t="n"/>
      <c r="V14" s="40" t="n"/>
      <c r="W14" s="40" t="n"/>
      <c r="X14" s="41" t="n"/>
      <c r="Y14" s="38" t="n"/>
      <c r="Z14" s="38" t="n"/>
      <c r="AA14" s="38" t="n"/>
      <c r="AB14" s="41" t="n"/>
      <c r="AC14" s="40" t="n"/>
      <c r="AD14" s="38" t="n"/>
      <c r="AE14" s="38" t="n"/>
      <c r="AF14" s="38" t="n"/>
      <c r="AG14" s="38" t="n"/>
      <c r="AH14" s="38" t="n"/>
      <c r="AI14" s="38" t="n"/>
      <c r="AJ14" s="42" t="n"/>
      <c r="AK14" s="42" t="n"/>
      <c r="AL14" s="54" t="n"/>
      <c r="AM14" s="54" t="n"/>
    </row>
    <row r="15" ht="15" customHeight="1" s="24">
      <c r="A15" s="38" t="n"/>
      <c r="B15" s="38" t="n"/>
      <c r="C15" s="38" t="n"/>
      <c r="D15" s="38" t="n"/>
      <c r="E15" s="38" t="n"/>
      <c r="F15" s="38" t="n"/>
      <c r="G15" s="38" t="n"/>
      <c r="H15" s="38" t="n"/>
      <c r="I15" s="38" t="n"/>
      <c r="J15" s="38" t="n"/>
      <c r="K15" s="39">
        <f>IF($A15="","",COUNTIF(수강생!$A:$A,$A15))</f>
        <v/>
      </c>
      <c r="L15" s="39">
        <f>IF($A15="","",IF($H15="A","확정",IF(K15&gt;=I15,"확정","미달")))</f>
        <v/>
      </c>
      <c r="M15" s="38" t="n"/>
      <c r="N15" s="38" t="n"/>
      <c r="O15" s="38" t="n"/>
      <c r="P15" s="40" t="n"/>
      <c r="Q15" s="38" t="n"/>
      <c r="R15" s="38" t="n"/>
      <c r="S15" s="40" t="n"/>
      <c r="T15" s="40" t="n"/>
      <c r="U15" s="40" t="n"/>
      <c r="V15" s="40" t="n"/>
      <c r="W15" s="40" t="n"/>
      <c r="X15" s="41" t="n"/>
      <c r="Y15" s="38" t="n"/>
      <c r="Z15" s="38" t="n"/>
      <c r="AA15" s="38" t="n"/>
      <c r="AB15" s="41" t="n"/>
      <c r="AC15" s="40" t="n"/>
      <c r="AD15" s="38" t="n"/>
      <c r="AE15" s="38" t="n"/>
      <c r="AF15" s="38" t="n"/>
      <c r="AG15" s="38" t="n"/>
      <c r="AH15" s="38" t="n"/>
      <c r="AI15" s="38" t="n"/>
      <c r="AJ15" s="42" t="n"/>
      <c r="AK15" s="42" t="n"/>
      <c r="AL15" s="54" t="n"/>
      <c r="AM15" s="54" t="n"/>
    </row>
    <row r="16" ht="15" customHeight="1" s="24">
      <c r="A16" s="38" t="n"/>
      <c r="B16" s="38" t="n"/>
      <c r="C16" s="38" t="n"/>
      <c r="D16" s="38" t="n"/>
      <c r="E16" s="38" t="n"/>
      <c r="F16" s="38" t="n"/>
      <c r="G16" s="38" t="n"/>
      <c r="H16" s="38" t="n"/>
      <c r="I16" s="38" t="n"/>
      <c r="J16" s="38" t="n"/>
      <c r="K16" s="39">
        <f>IF($A16="","",COUNTIF(수강생!$A:$A,$A16))</f>
        <v/>
      </c>
      <c r="L16" s="39">
        <f>IF($A16="","",IF($H16="A","확정",IF(K16&gt;=I16,"확정","미달")))</f>
        <v/>
      </c>
      <c r="M16" s="38" t="n"/>
      <c r="N16" s="38" t="n"/>
      <c r="O16" s="38" t="n"/>
      <c r="P16" s="40" t="n"/>
      <c r="Q16" s="38" t="n"/>
      <c r="R16" s="38" t="n"/>
      <c r="S16" s="40" t="n"/>
      <c r="T16" s="40" t="n"/>
      <c r="U16" s="40" t="n"/>
      <c r="V16" s="40" t="n"/>
      <c r="W16" s="40" t="n"/>
      <c r="X16" s="41" t="n"/>
      <c r="Y16" s="38" t="n"/>
      <c r="Z16" s="38" t="n"/>
      <c r="AA16" s="38" t="n"/>
      <c r="AB16" s="41" t="n"/>
      <c r="AC16" s="40" t="n"/>
      <c r="AD16" s="38" t="n"/>
      <c r="AE16" s="38" t="n"/>
      <c r="AF16" s="38" t="n"/>
      <c r="AG16" s="38" t="n"/>
      <c r="AH16" s="38" t="n"/>
      <c r="AI16" s="38" t="n"/>
      <c r="AJ16" s="42" t="n"/>
      <c r="AK16" s="42" t="n"/>
      <c r="AL16" s="54" t="n"/>
      <c r="AM16" s="54" t="n"/>
    </row>
    <row r="17" ht="15" customHeight="1" s="24">
      <c r="A17" s="38" t="n"/>
      <c r="B17" s="38" t="n"/>
      <c r="C17" s="38" t="n"/>
      <c r="D17" s="38" t="n"/>
      <c r="E17" s="38" t="n"/>
      <c r="F17" s="38" t="n"/>
      <c r="G17" s="38" t="n"/>
      <c r="H17" s="38" t="n"/>
      <c r="I17" s="38" t="n"/>
      <c r="J17" s="38" t="n"/>
      <c r="K17" s="39">
        <f>IF($A17="","",COUNTIF(수강생!$A:$A,$A17))</f>
        <v/>
      </c>
      <c r="L17" s="39">
        <f>IF($A17="","",IF($H17="A","확정",IF(K17&gt;=I17,"확정","미달")))</f>
        <v/>
      </c>
      <c r="M17" s="38" t="n"/>
      <c r="N17" s="38" t="n"/>
      <c r="O17" s="38" t="n"/>
      <c r="P17" s="40" t="n"/>
      <c r="Q17" s="38" t="n"/>
      <c r="R17" s="38" t="n"/>
      <c r="S17" s="40" t="n"/>
      <c r="T17" s="40" t="n"/>
      <c r="U17" s="40" t="n"/>
      <c r="V17" s="40" t="n"/>
      <c r="W17" s="40" t="n"/>
      <c r="X17" s="41" t="n"/>
      <c r="Y17" s="38" t="n"/>
      <c r="Z17" s="38" t="n"/>
      <c r="AA17" s="38" t="n"/>
      <c r="AB17" s="41" t="n"/>
      <c r="AC17" s="40" t="n"/>
      <c r="AD17" s="38" t="n"/>
      <c r="AE17" s="38" t="n"/>
      <c r="AF17" s="38" t="n"/>
      <c r="AG17" s="38" t="n"/>
      <c r="AH17" s="38" t="n"/>
      <c r="AI17" s="38" t="n"/>
      <c r="AJ17" s="42" t="n"/>
      <c r="AK17" s="42" t="n"/>
      <c r="AL17" s="54" t="n"/>
      <c r="AM17" s="54" t="n"/>
    </row>
    <row r="18" ht="15" customHeight="1" s="24">
      <c r="A18" s="38" t="n"/>
      <c r="B18" s="38" t="n"/>
      <c r="C18" s="38" t="n"/>
      <c r="D18" s="38" t="n"/>
      <c r="E18" s="38" t="n"/>
      <c r="F18" s="38" t="n"/>
      <c r="G18" s="38" t="n"/>
      <c r="H18" s="38" t="n"/>
      <c r="I18" s="38" t="n"/>
      <c r="J18" s="38" t="n"/>
      <c r="K18" s="39">
        <f>IF($A18="","",COUNTIF(수강생!$A:$A,$A18))</f>
        <v/>
      </c>
      <c r="L18" s="39">
        <f>IF($A18="","",IF($H18="A","확정",IF(K18&gt;=I18,"확정","미달")))</f>
        <v/>
      </c>
      <c r="M18" s="38" t="n"/>
      <c r="N18" s="38" t="n"/>
      <c r="O18" s="38" t="n"/>
      <c r="P18" s="40" t="n"/>
      <c r="Q18" s="38" t="n"/>
      <c r="R18" s="38" t="n"/>
      <c r="S18" s="40" t="n"/>
      <c r="T18" s="40" t="n"/>
      <c r="U18" s="40" t="n"/>
      <c r="V18" s="40" t="n"/>
      <c r="W18" s="40" t="n"/>
      <c r="X18" s="41" t="n"/>
      <c r="Y18" s="38" t="n"/>
      <c r="Z18" s="38" t="n"/>
      <c r="AA18" s="38" t="n"/>
      <c r="AB18" s="41" t="n"/>
      <c r="AC18" s="40" t="n"/>
      <c r="AD18" s="38" t="n"/>
      <c r="AE18" s="38" t="n"/>
      <c r="AF18" s="38" t="n"/>
      <c r="AG18" s="38" t="n"/>
      <c r="AH18" s="38" t="n"/>
      <c r="AI18" s="38" t="n"/>
      <c r="AJ18" s="42" t="n"/>
      <c r="AK18" s="42" t="n"/>
      <c r="AL18" s="54" t="n"/>
      <c r="AM18" s="54" t="n"/>
    </row>
    <row r="19" ht="15" customHeight="1" s="24">
      <c r="A19" s="38" t="n"/>
      <c r="B19" s="38" t="n"/>
      <c r="C19" s="38" t="n"/>
      <c r="D19" s="38" t="n"/>
      <c r="E19" s="38" t="n"/>
      <c r="F19" s="38" t="n"/>
      <c r="G19" s="38" t="n"/>
      <c r="H19" s="38" t="n"/>
      <c r="I19" s="38" t="n"/>
      <c r="J19" s="38" t="n"/>
      <c r="K19" s="39">
        <f>IF($A19="","",COUNTIF(수강생!$A:$A,$A19))</f>
        <v/>
      </c>
      <c r="L19" s="39">
        <f>IF($A19="","",IF($H19="A","확정",IF(K19&gt;=I19,"확정","미달")))</f>
        <v/>
      </c>
      <c r="M19" s="38" t="n"/>
      <c r="N19" s="38" t="n"/>
      <c r="O19" s="38" t="n"/>
      <c r="P19" s="40" t="n"/>
      <c r="Q19" s="38" t="n"/>
      <c r="R19" s="38" t="n"/>
      <c r="S19" s="40" t="n"/>
      <c r="T19" s="40" t="n"/>
      <c r="U19" s="40" t="n"/>
      <c r="V19" s="40" t="n"/>
      <c r="W19" s="40" t="n"/>
      <c r="X19" s="41" t="n"/>
      <c r="Y19" s="38" t="n"/>
      <c r="Z19" s="38" t="n"/>
      <c r="AA19" s="38" t="n"/>
      <c r="AB19" s="41" t="n"/>
      <c r="AC19" s="40" t="n"/>
      <c r="AD19" s="38" t="n"/>
      <c r="AE19" s="38" t="n"/>
      <c r="AF19" s="38" t="n"/>
      <c r="AG19" s="38" t="n"/>
      <c r="AH19" s="38" t="n"/>
      <c r="AI19" s="38" t="n"/>
      <c r="AJ19" s="42" t="n"/>
      <c r="AK19" s="42" t="n"/>
      <c r="AL19" s="54" t="n"/>
      <c r="AM19" s="54" t="n"/>
    </row>
    <row r="20" ht="15" customHeight="1" s="24">
      <c r="A20" s="38" t="n"/>
      <c r="B20" s="38" t="n"/>
      <c r="C20" s="38" t="n"/>
      <c r="D20" s="38" t="n"/>
      <c r="E20" s="38" t="n"/>
      <c r="F20" s="38" t="n"/>
      <c r="G20" s="38" t="n"/>
      <c r="H20" s="38" t="n"/>
      <c r="I20" s="38" t="n"/>
      <c r="J20" s="38" t="n"/>
      <c r="K20" s="39">
        <f>IF($A20="","",COUNTIF(수강생!$A:$A,$A20))</f>
        <v/>
      </c>
      <c r="L20" s="39">
        <f>IF($A20="","",IF($H20="A","확정",IF(K20&gt;=I20,"확정","미달")))</f>
        <v/>
      </c>
      <c r="M20" s="38" t="n"/>
      <c r="N20" s="38" t="n"/>
      <c r="O20" s="38" t="n"/>
      <c r="P20" s="40" t="n"/>
      <c r="Q20" s="38" t="n"/>
      <c r="R20" s="38" t="n"/>
      <c r="S20" s="40" t="n"/>
      <c r="T20" s="40" t="n"/>
      <c r="U20" s="40" t="n"/>
      <c r="V20" s="40" t="n"/>
      <c r="W20" s="40" t="n"/>
      <c r="X20" s="41" t="n"/>
      <c r="Y20" s="38" t="n"/>
      <c r="Z20" s="38" t="n"/>
      <c r="AA20" s="38" t="n"/>
      <c r="AB20" s="41" t="n"/>
      <c r="AC20" s="40" t="n"/>
      <c r="AD20" s="38" t="n"/>
      <c r="AE20" s="38" t="n"/>
      <c r="AF20" s="38" t="n"/>
      <c r="AG20" s="38" t="n"/>
      <c r="AH20" s="38" t="n"/>
      <c r="AI20" s="38" t="n"/>
      <c r="AJ20" s="42" t="n"/>
      <c r="AK20" s="42" t="n"/>
      <c r="AL20" s="54" t="n"/>
      <c r="AM20" s="54" t="n"/>
    </row>
    <row r="21" ht="15" customHeight="1" s="24">
      <c r="A21" s="38" t="n"/>
      <c r="B21" s="38" t="n"/>
      <c r="C21" s="38" t="n"/>
      <c r="D21" s="38" t="n"/>
      <c r="E21" s="38" t="n"/>
      <c r="F21" s="38" t="n"/>
      <c r="G21" s="38" t="n"/>
      <c r="H21" s="38" t="n"/>
      <c r="I21" s="38" t="n"/>
      <c r="J21" s="38" t="n"/>
      <c r="K21" s="39">
        <f>IF($A21="","",COUNTIF(수강생!$A:$A,$A21))</f>
        <v/>
      </c>
      <c r="L21" s="39">
        <f>IF($A21="","",IF($H21="A","확정",IF(K21&gt;=I21,"확정","미달")))</f>
        <v/>
      </c>
      <c r="M21" s="38" t="n"/>
      <c r="N21" s="38" t="n"/>
      <c r="O21" s="38" t="n"/>
      <c r="P21" s="40" t="n"/>
      <c r="Q21" s="38" t="n"/>
      <c r="R21" s="38" t="n"/>
      <c r="S21" s="40" t="n"/>
      <c r="T21" s="40" t="n"/>
      <c r="U21" s="40" t="n"/>
      <c r="V21" s="40" t="n"/>
      <c r="W21" s="40" t="n"/>
      <c r="X21" s="41" t="n"/>
      <c r="Y21" s="38" t="n"/>
      <c r="Z21" s="38" t="n"/>
      <c r="AA21" s="38" t="n"/>
      <c r="AB21" s="41" t="n"/>
      <c r="AC21" s="40" t="n"/>
      <c r="AD21" s="38" t="n"/>
      <c r="AE21" s="38" t="n"/>
      <c r="AF21" s="38" t="n"/>
      <c r="AG21" s="38" t="n"/>
      <c r="AH21" s="38" t="n"/>
      <c r="AI21" s="38" t="n"/>
      <c r="AJ21" s="42" t="n"/>
      <c r="AK21" s="42" t="n"/>
      <c r="AL21" s="54" t="n"/>
      <c r="AM21" s="54" t="n"/>
    </row>
    <row r="22" ht="15" customHeight="1" s="24">
      <c r="A22" s="38" t="n"/>
      <c r="B22" s="38" t="n"/>
      <c r="C22" s="38" t="n"/>
      <c r="D22" s="38" t="n"/>
      <c r="E22" s="38" t="n"/>
      <c r="F22" s="38" t="n"/>
      <c r="G22" s="38" t="n"/>
      <c r="H22" s="38" t="n"/>
      <c r="I22" s="38" t="n"/>
      <c r="J22" s="38" t="n"/>
      <c r="K22" s="39">
        <f>IF($A22="","",COUNTIF(수강생!$A:$A,$A22))</f>
        <v/>
      </c>
      <c r="L22" s="39">
        <f>IF($A22="","",IF($H22="A","확정",IF(K22&gt;=I22,"확정","미달")))</f>
        <v/>
      </c>
      <c r="M22" s="38" t="n"/>
      <c r="N22" s="38" t="n"/>
      <c r="O22" s="38" t="n"/>
      <c r="P22" s="40" t="n"/>
      <c r="Q22" s="38" t="n"/>
      <c r="R22" s="38" t="n"/>
      <c r="S22" s="40" t="n"/>
      <c r="T22" s="40" t="n"/>
      <c r="U22" s="40" t="n"/>
      <c r="V22" s="40" t="n"/>
      <c r="W22" s="40" t="n"/>
      <c r="X22" s="41" t="n"/>
      <c r="Y22" s="38" t="n"/>
      <c r="Z22" s="38" t="n"/>
      <c r="AA22" s="38" t="n"/>
      <c r="AB22" s="41" t="n"/>
      <c r="AC22" s="40" t="n"/>
      <c r="AD22" s="38" t="n"/>
      <c r="AE22" s="38" t="n"/>
      <c r="AF22" s="38" t="n"/>
      <c r="AG22" s="38" t="n"/>
      <c r="AH22" s="38" t="n"/>
      <c r="AI22" s="38" t="n"/>
      <c r="AJ22" s="42" t="n"/>
      <c r="AK22" s="42" t="n"/>
      <c r="AL22" s="54" t="n"/>
      <c r="AM22" s="54" t="n"/>
    </row>
    <row r="23" ht="15" customHeight="1" s="24">
      <c r="A23" s="38" t="n"/>
      <c r="B23" s="38" t="n"/>
      <c r="C23" s="38" t="n"/>
      <c r="D23" s="38" t="n"/>
      <c r="E23" s="38" t="n"/>
      <c r="F23" s="38" t="n"/>
      <c r="G23" s="38" t="n"/>
      <c r="H23" s="38" t="n"/>
      <c r="I23" s="38" t="n"/>
      <c r="J23" s="38" t="n"/>
      <c r="K23" s="39">
        <f>IF($A23="","",COUNTIF(수강생!$A:$A,$A23))</f>
        <v/>
      </c>
      <c r="L23" s="39">
        <f>IF($A23="","",IF($H23="A","확정",IF(K23&gt;=I23,"확정","미달")))</f>
        <v/>
      </c>
      <c r="M23" s="38" t="n"/>
      <c r="N23" s="38" t="n"/>
      <c r="O23" s="38" t="n"/>
      <c r="P23" s="40" t="n"/>
      <c r="Q23" s="38" t="n"/>
      <c r="R23" s="38" t="n"/>
      <c r="S23" s="40" t="n"/>
      <c r="T23" s="40" t="n"/>
      <c r="U23" s="40" t="n"/>
      <c r="V23" s="40" t="n"/>
      <c r="W23" s="40" t="n"/>
      <c r="X23" s="41" t="n"/>
      <c r="Y23" s="38" t="n"/>
      <c r="Z23" s="38" t="n"/>
      <c r="AA23" s="38" t="n"/>
      <c r="AB23" s="41" t="n"/>
      <c r="AC23" s="40" t="n"/>
      <c r="AD23" s="38" t="n"/>
      <c r="AE23" s="38" t="n"/>
      <c r="AF23" s="38" t="n"/>
      <c r="AG23" s="38" t="n"/>
      <c r="AH23" s="38" t="n"/>
      <c r="AI23" s="38" t="n"/>
      <c r="AJ23" s="42" t="n"/>
      <c r="AK23" s="42" t="n"/>
      <c r="AL23" s="54" t="n"/>
      <c r="AM23" s="54" t="n"/>
    </row>
    <row r="24" ht="15" customHeight="1" s="24">
      <c r="A24" s="38" t="n"/>
      <c r="B24" s="38" t="n"/>
      <c r="C24" s="38" t="n"/>
      <c r="D24" s="38" t="n"/>
      <c r="E24" s="38" t="n"/>
      <c r="F24" s="38" t="n"/>
      <c r="G24" s="38" t="n"/>
      <c r="H24" s="38" t="n"/>
      <c r="I24" s="38" t="n"/>
      <c r="J24" s="38" t="n"/>
      <c r="K24" s="39">
        <f>IF($A24="","",COUNTIF(수강생!$A:$A,$A24))</f>
        <v/>
      </c>
      <c r="L24" s="39">
        <f>IF($A24="","",IF($H24="A","확정",IF(K24&gt;=I24,"확정","미달")))</f>
        <v/>
      </c>
      <c r="M24" s="38" t="n"/>
      <c r="N24" s="38" t="n"/>
      <c r="O24" s="38" t="n"/>
      <c r="P24" s="40" t="n"/>
      <c r="Q24" s="38" t="n"/>
      <c r="R24" s="38" t="n"/>
      <c r="S24" s="40" t="n"/>
      <c r="T24" s="40" t="n"/>
      <c r="U24" s="40" t="n"/>
      <c r="V24" s="40" t="n"/>
      <c r="W24" s="40" t="n"/>
      <c r="X24" s="41" t="n"/>
      <c r="Y24" s="38" t="n"/>
      <c r="Z24" s="38" t="n"/>
      <c r="AA24" s="38" t="n"/>
      <c r="AB24" s="41" t="n"/>
      <c r="AC24" s="40" t="n"/>
      <c r="AD24" s="38" t="n"/>
      <c r="AE24" s="38" t="n"/>
      <c r="AF24" s="38" t="n"/>
      <c r="AG24" s="38" t="n"/>
      <c r="AH24" s="38" t="n"/>
      <c r="AI24" s="38" t="n"/>
      <c r="AJ24" s="42" t="n"/>
      <c r="AK24" s="42" t="n"/>
      <c r="AL24" s="54" t="n"/>
      <c r="AM24" s="54" t="n"/>
    </row>
    <row r="25" ht="15" customHeight="1" s="24">
      <c r="A25" s="38" t="n"/>
      <c r="B25" s="38" t="n"/>
      <c r="C25" s="38" t="n"/>
      <c r="D25" s="38" t="n"/>
      <c r="E25" s="38" t="n"/>
      <c r="F25" s="38" t="n"/>
      <c r="G25" s="38" t="n"/>
      <c r="H25" s="38" t="n"/>
      <c r="I25" s="38" t="n"/>
      <c r="J25" s="38" t="n"/>
      <c r="K25" s="39">
        <f>IF($A25="","",COUNTIF(수강생!$A:$A,$A25))</f>
        <v/>
      </c>
      <c r="L25" s="39">
        <f>IF($A25="","",IF($H25="A","확정",IF(K25&gt;=I25,"확정","미달")))</f>
        <v/>
      </c>
      <c r="M25" s="38" t="n"/>
      <c r="N25" s="38" t="n"/>
      <c r="O25" s="38" t="n"/>
      <c r="P25" s="40" t="n"/>
      <c r="Q25" s="38" t="n"/>
      <c r="R25" s="38" t="n"/>
      <c r="S25" s="40" t="n"/>
      <c r="T25" s="40" t="n"/>
      <c r="U25" s="40" t="n"/>
      <c r="V25" s="40" t="n"/>
      <c r="W25" s="40" t="n"/>
      <c r="X25" s="41" t="n"/>
      <c r="Y25" s="38" t="n"/>
      <c r="Z25" s="38" t="n"/>
      <c r="AA25" s="38" t="n"/>
      <c r="AB25" s="41" t="n"/>
      <c r="AC25" s="40" t="n"/>
      <c r="AD25" s="38" t="n"/>
      <c r="AE25" s="38" t="n"/>
      <c r="AF25" s="38" t="n"/>
      <c r="AG25" s="38" t="n"/>
      <c r="AH25" s="38" t="n"/>
      <c r="AI25" s="38" t="n"/>
      <c r="AJ25" s="42" t="n"/>
      <c r="AK25" s="42" t="n"/>
      <c r="AL25" s="54" t="n"/>
      <c r="AM25" s="54" t="n"/>
    </row>
    <row r="26" ht="15" customHeight="1" s="24">
      <c r="A26" s="38" t="n"/>
      <c r="B26" s="38" t="n"/>
      <c r="C26" s="38" t="n"/>
      <c r="D26" s="38" t="n"/>
      <c r="E26" s="38" t="n"/>
      <c r="F26" s="38" t="n"/>
      <c r="G26" s="38" t="n"/>
      <c r="H26" s="38" t="n"/>
      <c r="I26" s="38" t="n"/>
      <c r="J26" s="38" t="n"/>
      <c r="K26" s="39">
        <f>IF($A26="","",COUNTIF(수강생!$A:$A,$A26))</f>
        <v/>
      </c>
      <c r="L26" s="39">
        <f>IF($A26="","",IF($H26="A","확정",IF(K26&gt;=I26,"확정","미달")))</f>
        <v/>
      </c>
      <c r="M26" s="38" t="n"/>
      <c r="N26" s="38" t="n"/>
      <c r="O26" s="38" t="n"/>
      <c r="P26" s="40" t="n"/>
      <c r="Q26" s="38" t="n"/>
      <c r="R26" s="38" t="n"/>
      <c r="S26" s="40" t="n"/>
      <c r="T26" s="40" t="n"/>
      <c r="U26" s="40" t="n"/>
      <c r="V26" s="40" t="n"/>
      <c r="W26" s="40" t="n"/>
      <c r="X26" s="41" t="n"/>
      <c r="Y26" s="38" t="n"/>
      <c r="Z26" s="38" t="n"/>
      <c r="AA26" s="38" t="n"/>
      <c r="AB26" s="41" t="n"/>
      <c r="AC26" s="40" t="n"/>
      <c r="AD26" s="38" t="n"/>
      <c r="AE26" s="38" t="n"/>
      <c r="AF26" s="38" t="n"/>
      <c r="AG26" s="38" t="n"/>
      <c r="AH26" s="38" t="n"/>
      <c r="AI26" s="38" t="n"/>
      <c r="AJ26" s="42" t="n"/>
      <c r="AK26" s="42" t="n"/>
      <c r="AL26" s="54" t="n"/>
      <c r="AM26" s="54" t="n"/>
    </row>
    <row r="27" ht="15" customHeight="1" s="24">
      <c r="A27" s="38" t="n"/>
      <c r="B27" s="38" t="n"/>
      <c r="C27" s="38" t="n"/>
      <c r="D27" s="38" t="n"/>
      <c r="E27" s="38" t="n"/>
      <c r="F27" s="38" t="n"/>
      <c r="G27" s="38" t="n"/>
      <c r="H27" s="38" t="n"/>
      <c r="I27" s="38" t="n"/>
      <c r="J27" s="38" t="n"/>
      <c r="K27" s="39">
        <f>IF($A27="","",COUNTIF(수강생!$A:$A,$A27))</f>
        <v/>
      </c>
      <c r="L27" s="39">
        <f>IF($A27="","",IF($H27="A","확정",IF(K27&gt;=I27,"확정","미달")))</f>
        <v/>
      </c>
      <c r="M27" s="38" t="n"/>
      <c r="N27" s="38" t="n"/>
      <c r="O27" s="38" t="n"/>
      <c r="P27" s="40" t="n"/>
      <c r="Q27" s="38" t="n"/>
      <c r="R27" s="38" t="n"/>
      <c r="S27" s="40" t="n"/>
      <c r="T27" s="40" t="n"/>
      <c r="U27" s="40" t="n"/>
      <c r="V27" s="40" t="n"/>
      <c r="W27" s="40" t="n"/>
      <c r="X27" s="41" t="n"/>
      <c r="Y27" s="38" t="n"/>
      <c r="Z27" s="38" t="n"/>
      <c r="AA27" s="38" t="n"/>
      <c r="AB27" s="41" t="n"/>
      <c r="AC27" s="40" t="n"/>
      <c r="AD27" s="38" t="n"/>
      <c r="AE27" s="38" t="n"/>
      <c r="AF27" s="38" t="n"/>
      <c r="AG27" s="38" t="n"/>
      <c r="AH27" s="38" t="n"/>
      <c r="AI27" s="38" t="n"/>
      <c r="AJ27" s="42" t="n"/>
      <c r="AK27" s="42" t="n"/>
      <c r="AL27" s="54" t="n"/>
      <c r="AM27" s="54" t="n"/>
    </row>
    <row r="28" ht="15" customHeight="1" s="24">
      <c r="A28" s="38" t="n"/>
      <c r="B28" s="38" t="n"/>
      <c r="C28" s="38" t="n"/>
      <c r="D28" s="38" t="n"/>
      <c r="E28" s="38" t="n"/>
      <c r="F28" s="38" t="n"/>
      <c r="G28" s="38" t="n"/>
      <c r="H28" s="38" t="n"/>
      <c r="I28" s="38" t="n"/>
      <c r="J28" s="38" t="n"/>
      <c r="K28" s="39">
        <f>IF($A28="","",COUNTIF(수강생!$A:$A,$A28))</f>
        <v/>
      </c>
      <c r="L28" s="39">
        <f>IF($A28="","",IF($H28="A","확정",IF(K28&gt;=I28,"확정","미달")))</f>
        <v/>
      </c>
      <c r="M28" s="38" t="n"/>
      <c r="N28" s="38" t="n"/>
      <c r="O28" s="38" t="n"/>
      <c r="P28" s="40" t="n"/>
      <c r="Q28" s="38" t="n"/>
      <c r="R28" s="38" t="n"/>
      <c r="S28" s="40" t="n"/>
      <c r="T28" s="40" t="n"/>
      <c r="U28" s="40" t="n"/>
      <c r="V28" s="40" t="n"/>
      <c r="W28" s="40" t="n"/>
      <c r="X28" s="41" t="n"/>
      <c r="Y28" s="38" t="n"/>
      <c r="Z28" s="38" t="n"/>
      <c r="AA28" s="38" t="n"/>
      <c r="AB28" s="41" t="n"/>
      <c r="AC28" s="40" t="n"/>
      <c r="AD28" s="38" t="n"/>
      <c r="AE28" s="38" t="n"/>
      <c r="AF28" s="38" t="n"/>
      <c r="AG28" s="38" t="n"/>
      <c r="AH28" s="38" t="n"/>
      <c r="AI28" s="38" t="n"/>
      <c r="AJ28" s="42" t="n"/>
      <c r="AK28" s="42" t="n"/>
      <c r="AL28" s="54" t="n"/>
      <c r="AM28" s="54" t="n"/>
    </row>
    <row r="29" ht="15" customHeight="1" s="24">
      <c r="A29" s="38" t="n"/>
      <c r="B29" s="38" t="n"/>
      <c r="C29" s="38" t="n"/>
      <c r="D29" s="38" t="n"/>
      <c r="E29" s="38" t="n"/>
      <c r="F29" s="38" t="n"/>
      <c r="G29" s="38" t="n"/>
      <c r="H29" s="38" t="n"/>
      <c r="I29" s="38" t="n"/>
      <c r="J29" s="38" t="n"/>
      <c r="K29" s="39">
        <f>IF($A29="","",COUNTIF(수강생!$A:$A,$A29))</f>
        <v/>
      </c>
      <c r="L29" s="39">
        <f>IF($A29="","",IF($H29="A","확정",IF(K29&gt;=I29,"확정","미달")))</f>
        <v/>
      </c>
      <c r="M29" s="38" t="n"/>
      <c r="N29" s="38" t="n"/>
      <c r="O29" s="38" t="n"/>
      <c r="P29" s="40" t="n"/>
      <c r="Q29" s="38" t="n"/>
      <c r="R29" s="38" t="n"/>
      <c r="S29" s="40" t="n"/>
      <c r="T29" s="40" t="n"/>
      <c r="U29" s="40" t="n"/>
      <c r="V29" s="40" t="n"/>
      <c r="W29" s="40" t="n"/>
      <c r="X29" s="41" t="n"/>
      <c r="Y29" s="38" t="n"/>
      <c r="Z29" s="38" t="n"/>
      <c r="AA29" s="38" t="n"/>
      <c r="AB29" s="41" t="n"/>
      <c r="AC29" s="40" t="n"/>
      <c r="AD29" s="38" t="n"/>
      <c r="AE29" s="38" t="n"/>
      <c r="AF29" s="38" t="n"/>
      <c r="AG29" s="38" t="n"/>
      <c r="AH29" s="38" t="n"/>
      <c r="AI29" s="38" t="n"/>
      <c r="AJ29" s="42" t="n"/>
      <c r="AK29" s="42" t="n"/>
      <c r="AL29" s="54" t="n"/>
      <c r="AM29" s="54" t="n"/>
    </row>
    <row r="30" ht="15" customHeight="1" s="24">
      <c r="A30" s="38" t="n"/>
      <c r="B30" s="38" t="n"/>
      <c r="C30" s="38" t="n"/>
      <c r="D30" s="38" t="n"/>
      <c r="E30" s="38" t="n"/>
      <c r="F30" s="38" t="n"/>
      <c r="G30" s="38" t="n"/>
      <c r="H30" s="38" t="n"/>
      <c r="I30" s="38" t="n"/>
      <c r="J30" s="38" t="n"/>
      <c r="K30" s="39">
        <f>IF($A30="","",COUNTIF(수강생!$A:$A,$A30))</f>
        <v/>
      </c>
      <c r="L30" s="39">
        <f>IF($A30="","",IF($H30="A","확정",IF(K30&gt;=I30,"확정","미달")))</f>
        <v/>
      </c>
      <c r="M30" s="38" t="n"/>
      <c r="N30" s="38" t="n"/>
      <c r="O30" s="38" t="n"/>
      <c r="P30" s="40" t="n"/>
      <c r="Q30" s="38" t="n"/>
      <c r="R30" s="38" t="n"/>
      <c r="S30" s="40" t="n"/>
      <c r="T30" s="40" t="n"/>
      <c r="U30" s="40" t="n"/>
      <c r="V30" s="40" t="n"/>
      <c r="W30" s="40" t="n"/>
      <c r="X30" s="41" t="n"/>
      <c r="Y30" s="38" t="n"/>
      <c r="Z30" s="38" t="n"/>
      <c r="AA30" s="38" t="n"/>
      <c r="AB30" s="41" t="n"/>
      <c r="AC30" s="40" t="n"/>
      <c r="AD30" s="38" t="n"/>
      <c r="AE30" s="38" t="n"/>
      <c r="AF30" s="38" t="n"/>
      <c r="AG30" s="38" t="n"/>
      <c r="AH30" s="38" t="n"/>
      <c r="AI30" s="38" t="n"/>
      <c r="AJ30" s="42" t="n"/>
      <c r="AK30" s="42" t="n"/>
      <c r="AL30" s="54" t="n"/>
      <c r="AM30" s="54" t="n"/>
    </row>
    <row r="31" ht="15" customHeight="1" s="24">
      <c r="A31" s="38" t="n"/>
      <c r="B31" s="38" t="n"/>
      <c r="C31" s="38" t="n"/>
      <c r="D31" s="38" t="n"/>
      <c r="E31" s="38" t="n"/>
      <c r="F31" s="38" t="n"/>
      <c r="G31" s="38" t="n"/>
      <c r="H31" s="38" t="n"/>
      <c r="I31" s="38" t="n"/>
      <c r="J31" s="38" t="n"/>
      <c r="K31" s="39">
        <f>IF($A31="","",COUNTIF(수강생!$A:$A,$A31))</f>
        <v/>
      </c>
      <c r="L31" s="39">
        <f>IF($A31="","",IF($H31="A","확정",IF(K31&gt;=I31,"확정","미달")))</f>
        <v/>
      </c>
      <c r="M31" s="38" t="n"/>
      <c r="N31" s="38" t="n"/>
      <c r="O31" s="38" t="n"/>
      <c r="P31" s="40" t="n"/>
      <c r="Q31" s="38" t="n"/>
      <c r="R31" s="38" t="n"/>
      <c r="S31" s="40" t="n"/>
      <c r="T31" s="40" t="n"/>
      <c r="U31" s="40" t="n"/>
      <c r="V31" s="40" t="n"/>
      <c r="W31" s="40" t="n"/>
      <c r="X31" s="41" t="n"/>
      <c r="Y31" s="38" t="n"/>
      <c r="Z31" s="38" t="n"/>
      <c r="AA31" s="38" t="n"/>
      <c r="AB31" s="41" t="n"/>
      <c r="AC31" s="40" t="n"/>
      <c r="AD31" s="38" t="n"/>
      <c r="AE31" s="38" t="n"/>
      <c r="AF31" s="38" t="n"/>
      <c r="AG31" s="38" t="n"/>
      <c r="AH31" s="38" t="n"/>
      <c r="AI31" s="38" t="n"/>
      <c r="AJ31" s="42" t="n"/>
      <c r="AK31" s="42" t="n"/>
      <c r="AL31" s="54" t="n"/>
      <c r="AM31" s="54" t="n"/>
    </row>
    <row r="32" ht="15" customHeight="1" s="24">
      <c r="A32" s="38" t="n"/>
      <c r="B32" s="38" t="n"/>
      <c r="C32" s="38" t="n"/>
      <c r="D32" s="38" t="n"/>
      <c r="E32" s="38" t="n"/>
      <c r="F32" s="38" t="n"/>
      <c r="G32" s="38" t="n"/>
      <c r="H32" s="38" t="n"/>
      <c r="I32" s="38" t="n"/>
      <c r="J32" s="38" t="n"/>
      <c r="K32" s="39">
        <f>IF($A32="","",COUNTIF(수강생!$A:$A,$A32))</f>
        <v/>
      </c>
      <c r="L32" s="39">
        <f>IF($A32="","",IF($H32="A","확정",IF(K32&gt;=I32,"확정","미달")))</f>
        <v/>
      </c>
      <c r="M32" s="38" t="n"/>
      <c r="N32" s="38" t="n"/>
      <c r="O32" s="38" t="n"/>
      <c r="P32" s="40" t="n"/>
      <c r="Q32" s="38" t="n"/>
      <c r="R32" s="38" t="n"/>
      <c r="S32" s="40" t="n"/>
      <c r="T32" s="40" t="n"/>
      <c r="U32" s="40" t="n"/>
      <c r="V32" s="40" t="n"/>
      <c r="W32" s="40" t="n"/>
      <c r="X32" s="41" t="n"/>
      <c r="Y32" s="38" t="n"/>
      <c r="Z32" s="38" t="n"/>
      <c r="AA32" s="38" t="n"/>
      <c r="AB32" s="41" t="n"/>
      <c r="AC32" s="40" t="n"/>
      <c r="AD32" s="38" t="n"/>
      <c r="AE32" s="38" t="n"/>
      <c r="AF32" s="38" t="n"/>
      <c r="AG32" s="38" t="n"/>
      <c r="AH32" s="38" t="n"/>
      <c r="AI32" s="38" t="n"/>
      <c r="AJ32" s="42" t="n"/>
      <c r="AK32" s="42" t="n"/>
      <c r="AL32" s="54" t="n"/>
      <c r="AM32" s="54" t="n"/>
    </row>
    <row r="33" ht="15" customHeight="1" s="24">
      <c r="A33" s="38" t="n"/>
      <c r="B33" s="38" t="n"/>
      <c r="C33" s="38" t="n"/>
      <c r="D33" s="38" t="n"/>
      <c r="E33" s="38" t="n"/>
      <c r="F33" s="38" t="n"/>
      <c r="G33" s="38" t="n"/>
      <c r="H33" s="38" t="n"/>
      <c r="I33" s="38" t="n"/>
      <c r="J33" s="38" t="n"/>
      <c r="K33" s="39">
        <f>IF($A33="","",COUNTIF(수강생!$A:$A,$A33))</f>
        <v/>
      </c>
      <c r="L33" s="39">
        <f>IF($A33="","",IF($H33="A","확정",IF(K33&gt;=I33,"확정","미달")))</f>
        <v/>
      </c>
      <c r="M33" s="38" t="n"/>
      <c r="N33" s="38" t="n"/>
      <c r="O33" s="38" t="n"/>
      <c r="P33" s="40" t="n"/>
      <c r="Q33" s="38" t="n"/>
      <c r="R33" s="38" t="n"/>
      <c r="S33" s="40" t="n"/>
      <c r="T33" s="40" t="n"/>
      <c r="U33" s="40" t="n"/>
      <c r="V33" s="40" t="n"/>
      <c r="W33" s="40" t="n"/>
      <c r="X33" s="41" t="n"/>
      <c r="Y33" s="38" t="n"/>
      <c r="Z33" s="38" t="n"/>
      <c r="AA33" s="38" t="n"/>
      <c r="AB33" s="41" t="n"/>
      <c r="AC33" s="40" t="n"/>
      <c r="AD33" s="38" t="n"/>
      <c r="AE33" s="38" t="n"/>
      <c r="AF33" s="38" t="n"/>
      <c r="AG33" s="38" t="n"/>
      <c r="AH33" s="38" t="n"/>
      <c r="AI33" s="38" t="n"/>
      <c r="AJ33" s="42" t="n"/>
      <c r="AK33" s="42" t="n"/>
      <c r="AL33" s="54" t="n"/>
      <c r="AM33" s="54" t="n"/>
    </row>
    <row r="34" ht="15" customHeight="1" s="24">
      <c r="A34" s="38" t="n"/>
      <c r="B34" s="38" t="n"/>
      <c r="C34" s="38" t="n"/>
      <c r="D34" s="38" t="n"/>
      <c r="E34" s="38" t="n"/>
      <c r="F34" s="38" t="n"/>
      <c r="G34" s="38" t="n"/>
      <c r="H34" s="38" t="n"/>
      <c r="I34" s="38" t="n"/>
      <c r="J34" s="38" t="n"/>
      <c r="K34" s="39">
        <f>IF($A34="","",COUNTIF(수강생!$A:$A,$A34))</f>
        <v/>
      </c>
      <c r="L34" s="39">
        <f>IF($A34="","",IF($H34="A","확정",IF(K34&gt;=I34,"확정","미달")))</f>
        <v/>
      </c>
      <c r="M34" s="38" t="n"/>
      <c r="N34" s="38" t="n"/>
      <c r="O34" s="38" t="n"/>
      <c r="P34" s="40" t="n"/>
      <c r="Q34" s="38" t="n"/>
      <c r="R34" s="38" t="n"/>
      <c r="S34" s="40" t="n"/>
      <c r="T34" s="40" t="n"/>
      <c r="U34" s="40" t="n"/>
      <c r="V34" s="40" t="n"/>
      <c r="W34" s="40" t="n"/>
      <c r="X34" s="41" t="n"/>
      <c r="Y34" s="38" t="n"/>
      <c r="Z34" s="38" t="n"/>
      <c r="AA34" s="38" t="n"/>
      <c r="AB34" s="41" t="n"/>
      <c r="AC34" s="40" t="n"/>
      <c r="AD34" s="38" t="n"/>
      <c r="AE34" s="38" t="n"/>
      <c r="AF34" s="38" t="n"/>
      <c r="AG34" s="38" t="n"/>
      <c r="AH34" s="38" t="n"/>
      <c r="AI34" s="38" t="n"/>
      <c r="AJ34" s="42" t="n"/>
      <c r="AK34" s="42" t="n"/>
      <c r="AL34" s="54" t="n"/>
      <c r="AM34" s="54" t="n"/>
    </row>
    <row r="35" ht="15" customHeight="1" s="24">
      <c r="A35" s="38" t="n"/>
      <c r="B35" s="38" t="n"/>
      <c r="C35" s="38" t="n"/>
      <c r="D35" s="38" t="n"/>
      <c r="E35" s="38" t="n"/>
      <c r="F35" s="38" t="n"/>
      <c r="G35" s="38" t="n"/>
      <c r="H35" s="38" t="n"/>
      <c r="I35" s="38" t="n"/>
      <c r="J35" s="38" t="n"/>
      <c r="K35" s="39">
        <f>IF($A35="","",COUNTIF(수강생!$A:$A,$A35))</f>
        <v/>
      </c>
      <c r="L35" s="39">
        <f>IF($A35="","",IF($H35="A","확정",IF(K35&gt;=I35,"확정","미달")))</f>
        <v/>
      </c>
      <c r="M35" s="38" t="n"/>
      <c r="N35" s="38" t="n"/>
      <c r="O35" s="38" t="n"/>
      <c r="P35" s="40" t="n"/>
      <c r="Q35" s="38" t="n"/>
      <c r="R35" s="38" t="n"/>
      <c r="S35" s="40" t="n"/>
      <c r="T35" s="40" t="n"/>
      <c r="U35" s="40" t="n"/>
      <c r="V35" s="40" t="n"/>
      <c r="W35" s="40" t="n"/>
      <c r="X35" s="41" t="n"/>
      <c r="Y35" s="38" t="n"/>
      <c r="Z35" s="38" t="n"/>
      <c r="AA35" s="38" t="n"/>
      <c r="AB35" s="41" t="n"/>
      <c r="AC35" s="40" t="n"/>
      <c r="AD35" s="38" t="n"/>
      <c r="AE35" s="38" t="n"/>
      <c r="AF35" s="38" t="n"/>
      <c r="AG35" s="38" t="n"/>
      <c r="AH35" s="38" t="n"/>
      <c r="AI35" s="38" t="n"/>
      <c r="AJ35" s="42" t="n"/>
      <c r="AK35" s="42" t="n"/>
      <c r="AL35" s="54" t="n"/>
      <c r="AM35" s="54" t="n"/>
    </row>
    <row r="36" ht="15" customHeight="1" s="24">
      <c r="A36" s="38" t="n"/>
      <c r="B36" s="38" t="n"/>
      <c r="C36" s="38" t="n"/>
      <c r="D36" s="38" t="n"/>
      <c r="E36" s="38" t="n"/>
      <c r="F36" s="38" t="n"/>
      <c r="G36" s="38" t="n"/>
      <c r="H36" s="38" t="n"/>
      <c r="I36" s="38" t="n"/>
      <c r="J36" s="38" t="n"/>
      <c r="K36" s="39">
        <f>IF($A36="","",COUNTIF(수강생!$A:$A,$A36))</f>
        <v/>
      </c>
      <c r="L36" s="39">
        <f>IF($A36="","",IF($H36="A","확정",IF(K36&gt;=I36,"확정","미달")))</f>
        <v/>
      </c>
      <c r="M36" s="38" t="n"/>
      <c r="N36" s="38" t="n"/>
      <c r="O36" s="38" t="n"/>
      <c r="P36" s="40" t="n"/>
      <c r="Q36" s="38" t="n"/>
      <c r="R36" s="38" t="n"/>
      <c r="S36" s="40" t="n"/>
      <c r="T36" s="40" t="n"/>
      <c r="U36" s="40" t="n"/>
      <c r="V36" s="40" t="n"/>
      <c r="W36" s="40" t="n"/>
      <c r="X36" s="41" t="n"/>
      <c r="Y36" s="38" t="n"/>
      <c r="Z36" s="38" t="n"/>
      <c r="AA36" s="38" t="n"/>
      <c r="AB36" s="41" t="n"/>
      <c r="AC36" s="40" t="n"/>
      <c r="AD36" s="38" t="n"/>
      <c r="AE36" s="38" t="n"/>
      <c r="AF36" s="38" t="n"/>
      <c r="AG36" s="38" t="n"/>
      <c r="AH36" s="38" t="n"/>
      <c r="AI36" s="38" t="n"/>
      <c r="AJ36" s="42" t="n"/>
      <c r="AK36" s="42" t="n"/>
      <c r="AL36" s="54" t="n"/>
      <c r="AM36" s="54" t="n"/>
    </row>
    <row r="37" ht="15" customHeight="1" s="24">
      <c r="A37" s="38" t="n"/>
      <c r="B37" s="38" t="n"/>
      <c r="C37" s="38" t="n"/>
      <c r="D37" s="38" t="n"/>
      <c r="E37" s="38" t="n"/>
      <c r="F37" s="38" t="n"/>
      <c r="G37" s="38" t="n"/>
      <c r="H37" s="38" t="n"/>
      <c r="I37" s="38" t="n"/>
      <c r="J37" s="38" t="n"/>
      <c r="K37" s="39">
        <f>IF($A37="","",COUNTIF(수강생!$A:$A,$A37))</f>
        <v/>
      </c>
      <c r="L37" s="39">
        <f>IF($A37="","",IF($H37="A","확정",IF(K37&gt;=I37,"확정","미달")))</f>
        <v/>
      </c>
      <c r="M37" s="38" t="n"/>
      <c r="N37" s="38" t="n"/>
      <c r="O37" s="38" t="n"/>
      <c r="P37" s="40" t="n"/>
      <c r="Q37" s="38" t="n"/>
      <c r="R37" s="38" t="n"/>
      <c r="S37" s="40" t="n"/>
      <c r="T37" s="40" t="n"/>
      <c r="U37" s="40" t="n"/>
      <c r="V37" s="40" t="n"/>
      <c r="W37" s="40" t="n"/>
      <c r="X37" s="41" t="n"/>
      <c r="Y37" s="38" t="n"/>
      <c r="Z37" s="38" t="n"/>
      <c r="AA37" s="38" t="n"/>
      <c r="AB37" s="41" t="n"/>
      <c r="AC37" s="40" t="n"/>
      <c r="AD37" s="38" t="n"/>
      <c r="AE37" s="38" t="n"/>
      <c r="AF37" s="38" t="n"/>
      <c r="AG37" s="38" t="n"/>
      <c r="AH37" s="38" t="n"/>
      <c r="AI37" s="38" t="n"/>
      <c r="AJ37" s="42" t="n"/>
      <c r="AK37" s="42" t="n"/>
      <c r="AL37" s="54" t="n"/>
      <c r="AM37" s="54" t="n"/>
    </row>
    <row r="38" ht="15" customHeight="1" s="24">
      <c r="A38" s="38" t="n"/>
      <c r="B38" s="38" t="n"/>
      <c r="C38" s="38" t="n"/>
      <c r="D38" s="38" t="n"/>
      <c r="E38" s="38" t="n"/>
      <c r="F38" s="38" t="n"/>
      <c r="G38" s="38" t="n"/>
      <c r="H38" s="38" t="n"/>
      <c r="I38" s="38" t="n"/>
      <c r="J38" s="38" t="n"/>
      <c r="K38" s="39">
        <f>IF($A38="","",COUNTIF(수강생!$A:$A,$A38))</f>
        <v/>
      </c>
      <c r="L38" s="39">
        <f>IF($A38="","",IF($H38="A","확정",IF(K38&gt;=I38,"확정","미달")))</f>
        <v/>
      </c>
      <c r="M38" s="38" t="n"/>
      <c r="N38" s="38" t="n"/>
      <c r="O38" s="38" t="n"/>
      <c r="P38" s="40" t="n"/>
      <c r="Q38" s="38" t="n"/>
      <c r="R38" s="38" t="n"/>
      <c r="S38" s="40" t="n"/>
      <c r="T38" s="40" t="n"/>
      <c r="U38" s="40" t="n"/>
      <c r="V38" s="40" t="n"/>
      <c r="W38" s="40" t="n"/>
      <c r="X38" s="41" t="n"/>
      <c r="Y38" s="38" t="n"/>
      <c r="Z38" s="38" t="n"/>
      <c r="AA38" s="38" t="n"/>
      <c r="AB38" s="41" t="n"/>
      <c r="AC38" s="40" t="n"/>
      <c r="AD38" s="38" t="n"/>
      <c r="AE38" s="38" t="n"/>
      <c r="AF38" s="38" t="n"/>
      <c r="AG38" s="38" t="n"/>
      <c r="AH38" s="38" t="n"/>
      <c r="AI38" s="38" t="n"/>
      <c r="AJ38" s="42" t="n"/>
      <c r="AK38" s="42" t="n"/>
      <c r="AL38" s="54" t="n"/>
      <c r="AM38" s="54" t="n"/>
    </row>
    <row r="39" ht="15" customHeight="1" s="24">
      <c r="A39" s="38" t="n"/>
      <c r="B39" s="38" t="n"/>
      <c r="C39" s="38" t="n"/>
      <c r="D39" s="38" t="n"/>
      <c r="E39" s="38" t="n"/>
      <c r="F39" s="38" t="n"/>
      <c r="G39" s="38" t="n"/>
      <c r="H39" s="38" t="n"/>
      <c r="I39" s="38" t="n"/>
      <c r="J39" s="38" t="n"/>
      <c r="K39" s="39">
        <f>IF($A39="","",COUNTIF(수강생!$A:$A,$A39))</f>
        <v/>
      </c>
      <c r="L39" s="39">
        <f>IF($A39="","",IF($H39="A","확정",IF(K39&gt;=I39,"확정","미달")))</f>
        <v/>
      </c>
      <c r="M39" s="38" t="n"/>
      <c r="N39" s="38" t="n"/>
      <c r="O39" s="38" t="n"/>
      <c r="P39" s="40" t="n"/>
      <c r="Q39" s="38" t="n"/>
      <c r="R39" s="38" t="n"/>
      <c r="S39" s="40" t="n"/>
      <c r="T39" s="40" t="n"/>
      <c r="U39" s="40" t="n"/>
      <c r="V39" s="40" t="n"/>
      <c r="W39" s="40" t="n"/>
      <c r="X39" s="41" t="n"/>
      <c r="Y39" s="38" t="n"/>
      <c r="Z39" s="38" t="n"/>
      <c r="AA39" s="38" t="n"/>
      <c r="AB39" s="41" t="n"/>
      <c r="AC39" s="40" t="n"/>
      <c r="AD39" s="38" t="n"/>
      <c r="AE39" s="38" t="n"/>
      <c r="AF39" s="38" t="n"/>
      <c r="AG39" s="38" t="n"/>
      <c r="AH39" s="38" t="n"/>
      <c r="AI39" s="38" t="n"/>
      <c r="AJ39" s="42" t="n"/>
      <c r="AK39" s="42" t="n"/>
      <c r="AL39" s="54" t="n"/>
      <c r="AM39" s="54" t="n"/>
    </row>
    <row r="40" ht="15" customHeight="1" s="24">
      <c r="A40" s="38" t="n"/>
      <c r="B40" s="38" t="n"/>
      <c r="C40" s="38" t="n"/>
      <c r="D40" s="38" t="n"/>
      <c r="E40" s="38" t="n"/>
      <c r="F40" s="38" t="n"/>
      <c r="G40" s="38" t="n"/>
      <c r="H40" s="38" t="n"/>
      <c r="I40" s="38" t="n"/>
      <c r="J40" s="38" t="n"/>
      <c r="K40" s="39">
        <f>IF($A40="","",COUNTIF(수강생!$A:$A,$A40))</f>
        <v/>
      </c>
      <c r="L40" s="39">
        <f>IF($A40="","",IF($H40="A","확정",IF(K40&gt;=I40,"확정","미달")))</f>
        <v/>
      </c>
      <c r="M40" s="38" t="n"/>
      <c r="N40" s="38" t="n"/>
      <c r="O40" s="38" t="n"/>
      <c r="P40" s="40" t="n"/>
      <c r="Q40" s="38" t="n"/>
      <c r="R40" s="38" t="n"/>
      <c r="S40" s="40" t="n"/>
      <c r="T40" s="40" t="n"/>
      <c r="U40" s="40" t="n"/>
      <c r="V40" s="40" t="n"/>
      <c r="W40" s="40" t="n"/>
      <c r="X40" s="41" t="n"/>
      <c r="Y40" s="38" t="n"/>
      <c r="Z40" s="38" t="n"/>
      <c r="AA40" s="38" t="n"/>
      <c r="AB40" s="41" t="n"/>
      <c r="AC40" s="40" t="n"/>
      <c r="AD40" s="38" t="n"/>
      <c r="AE40" s="38" t="n"/>
      <c r="AF40" s="38" t="n"/>
      <c r="AG40" s="38" t="n"/>
      <c r="AH40" s="38" t="n"/>
      <c r="AI40" s="38" t="n"/>
      <c r="AJ40" s="42" t="n"/>
      <c r="AK40" s="42" t="n"/>
      <c r="AL40" s="54" t="n"/>
      <c r="AM40" s="54" t="n"/>
    </row>
    <row r="41" ht="15" customHeight="1" s="24">
      <c r="A41" s="38" t="n"/>
      <c r="B41" s="38" t="n"/>
      <c r="C41" s="38" t="n"/>
      <c r="D41" s="38" t="n"/>
      <c r="E41" s="38" t="n"/>
      <c r="F41" s="38" t="n"/>
      <c r="G41" s="38" t="n"/>
      <c r="H41" s="38" t="n"/>
      <c r="I41" s="38" t="n"/>
      <c r="J41" s="38" t="n"/>
      <c r="K41" s="39">
        <f>IF($A41="","",COUNTIF(수강생!$A:$A,$A41))</f>
        <v/>
      </c>
      <c r="L41" s="39">
        <f>IF($A41="","",IF($H41="A","확정",IF(K41&gt;=I41,"확정","미달")))</f>
        <v/>
      </c>
      <c r="M41" s="38" t="n"/>
      <c r="N41" s="38" t="n"/>
      <c r="O41" s="38" t="n"/>
      <c r="P41" s="40" t="n"/>
      <c r="Q41" s="38" t="n"/>
      <c r="R41" s="38" t="n"/>
      <c r="S41" s="40" t="n"/>
      <c r="T41" s="40" t="n"/>
      <c r="U41" s="40" t="n"/>
      <c r="V41" s="40" t="n"/>
      <c r="W41" s="40" t="n"/>
      <c r="X41" s="41" t="n"/>
      <c r="Y41" s="38" t="n"/>
      <c r="Z41" s="38" t="n"/>
      <c r="AA41" s="38" t="n"/>
      <c r="AB41" s="41" t="n"/>
      <c r="AC41" s="40" t="n"/>
      <c r="AD41" s="38" t="n"/>
      <c r="AE41" s="38" t="n"/>
      <c r="AF41" s="38" t="n"/>
      <c r="AG41" s="38" t="n"/>
      <c r="AH41" s="38" t="n"/>
      <c r="AI41" s="38" t="n"/>
      <c r="AJ41" s="42" t="n"/>
      <c r="AK41" s="42" t="n"/>
      <c r="AL41" s="54" t="n"/>
      <c r="AM41" s="54" t="n"/>
    </row>
    <row r="42" ht="15" customHeight="1" s="24">
      <c r="A42" s="38" t="n"/>
      <c r="B42" s="38" t="n"/>
      <c r="C42" s="38" t="n"/>
      <c r="D42" s="38" t="n"/>
      <c r="E42" s="38" t="n"/>
      <c r="F42" s="38" t="n"/>
      <c r="G42" s="38" t="n"/>
      <c r="H42" s="38" t="n"/>
      <c r="I42" s="38" t="n"/>
      <c r="J42" s="38" t="n"/>
      <c r="K42" s="39">
        <f>IF($A42="","",COUNTIF(수강생!$A:$A,$A42))</f>
        <v/>
      </c>
      <c r="L42" s="39">
        <f>IF($A42="","",IF($H42="A","확정",IF(K42&gt;=I42,"확정","미달")))</f>
        <v/>
      </c>
      <c r="M42" s="38" t="n"/>
      <c r="N42" s="38" t="n"/>
      <c r="O42" s="38" t="n"/>
      <c r="P42" s="40" t="n"/>
      <c r="Q42" s="38" t="n"/>
      <c r="R42" s="38" t="n"/>
      <c r="S42" s="40" t="n"/>
      <c r="T42" s="40" t="n"/>
      <c r="U42" s="40" t="n"/>
      <c r="V42" s="40" t="n"/>
      <c r="W42" s="40" t="n"/>
      <c r="X42" s="41" t="n"/>
      <c r="Y42" s="38" t="n"/>
      <c r="Z42" s="38" t="n"/>
      <c r="AA42" s="38" t="n"/>
      <c r="AB42" s="41" t="n"/>
      <c r="AC42" s="40" t="n"/>
      <c r="AD42" s="38" t="n"/>
      <c r="AE42" s="38" t="n"/>
      <c r="AF42" s="38" t="n"/>
      <c r="AG42" s="38" t="n"/>
      <c r="AH42" s="38" t="n"/>
      <c r="AI42" s="38" t="n"/>
      <c r="AJ42" s="42" t="n"/>
      <c r="AK42" s="42" t="n"/>
      <c r="AL42" s="54" t="n"/>
      <c r="AM42" s="54" t="n"/>
    </row>
    <row r="43" ht="15" customHeight="1" s="24">
      <c r="A43" s="38" t="n"/>
      <c r="B43" s="38" t="n"/>
      <c r="C43" s="38" t="n"/>
      <c r="D43" s="38" t="n"/>
      <c r="E43" s="38" t="n"/>
      <c r="F43" s="38" t="n"/>
      <c r="G43" s="38" t="n"/>
      <c r="H43" s="38" t="n"/>
      <c r="I43" s="38" t="n"/>
      <c r="J43" s="38" t="n"/>
      <c r="K43" s="39">
        <f>IF($A43="","",COUNTIF(수강생!$A:$A,$A43))</f>
        <v/>
      </c>
      <c r="L43" s="39">
        <f>IF($A43="","",IF($H43="A","확정",IF(K43&gt;=I43,"확정","미달")))</f>
        <v/>
      </c>
      <c r="M43" s="38" t="n"/>
      <c r="N43" s="38" t="n"/>
      <c r="O43" s="38" t="n"/>
      <c r="P43" s="40" t="n"/>
      <c r="Q43" s="38" t="n"/>
      <c r="R43" s="38" t="n"/>
      <c r="S43" s="40" t="n"/>
      <c r="T43" s="40" t="n"/>
      <c r="U43" s="40" t="n"/>
      <c r="V43" s="40" t="n"/>
      <c r="W43" s="40" t="n"/>
      <c r="X43" s="41" t="n"/>
      <c r="Y43" s="38" t="n"/>
      <c r="Z43" s="38" t="n"/>
      <c r="AA43" s="38" t="n"/>
      <c r="AB43" s="41" t="n"/>
      <c r="AC43" s="40" t="n"/>
      <c r="AD43" s="38" t="n"/>
      <c r="AE43" s="38" t="n"/>
      <c r="AF43" s="38" t="n"/>
      <c r="AG43" s="38" t="n"/>
      <c r="AH43" s="38" t="n"/>
      <c r="AI43" s="38" t="n"/>
      <c r="AJ43" s="42" t="n"/>
      <c r="AK43" s="42" t="n"/>
      <c r="AL43" s="54" t="n"/>
      <c r="AM43" s="54" t="n"/>
    </row>
    <row r="44" ht="15" customHeight="1" s="24">
      <c r="A44" s="38" t="n"/>
      <c r="B44" s="38" t="n"/>
      <c r="C44" s="38" t="n"/>
      <c r="D44" s="38" t="n"/>
      <c r="E44" s="38" t="n"/>
      <c r="F44" s="38" t="n"/>
      <c r="G44" s="38" t="n"/>
      <c r="H44" s="38" t="n"/>
      <c r="I44" s="38" t="n"/>
      <c r="J44" s="38" t="n"/>
      <c r="K44" s="39">
        <f>IF($A44="","",COUNTIF(수강생!$A:$A,$A44))</f>
        <v/>
      </c>
      <c r="L44" s="39">
        <f>IF($A44="","",IF($H44="A","확정",IF(K44&gt;=I44,"확정","미달")))</f>
        <v/>
      </c>
      <c r="M44" s="38" t="n"/>
      <c r="N44" s="38" t="n"/>
      <c r="O44" s="38" t="n"/>
      <c r="P44" s="40" t="n"/>
      <c r="Q44" s="38" t="n"/>
      <c r="R44" s="38" t="n"/>
      <c r="S44" s="40" t="n"/>
      <c r="T44" s="40" t="n"/>
      <c r="U44" s="40" t="n"/>
      <c r="V44" s="40" t="n"/>
      <c r="W44" s="40" t="n"/>
      <c r="X44" s="41" t="n"/>
      <c r="Y44" s="38" t="n"/>
      <c r="Z44" s="38" t="n"/>
      <c r="AA44" s="38" t="n"/>
      <c r="AB44" s="41" t="n"/>
      <c r="AC44" s="40" t="n"/>
      <c r="AD44" s="38" t="n"/>
      <c r="AE44" s="38" t="n"/>
      <c r="AF44" s="38" t="n"/>
      <c r="AG44" s="38" t="n"/>
      <c r="AH44" s="38" t="n"/>
      <c r="AI44" s="38" t="n"/>
      <c r="AJ44" s="42" t="n"/>
      <c r="AK44" s="42" t="n"/>
      <c r="AL44" s="54" t="n"/>
      <c r="AM44" s="54" t="n"/>
    </row>
    <row r="45" ht="15" customHeight="1" s="24">
      <c r="A45" s="38" t="n"/>
      <c r="B45" s="38" t="n"/>
      <c r="C45" s="38" t="n"/>
      <c r="D45" s="38" t="n"/>
      <c r="E45" s="38" t="n"/>
      <c r="F45" s="38" t="n"/>
      <c r="G45" s="38" t="n"/>
      <c r="H45" s="38" t="n"/>
      <c r="I45" s="38" t="n"/>
      <c r="J45" s="38" t="n"/>
      <c r="K45" s="39">
        <f>IF($A45="","",COUNTIF(수강생!$A:$A,$A45))</f>
        <v/>
      </c>
      <c r="L45" s="39">
        <f>IF($A45="","",IF($H45="A","확정",IF(K45&gt;=I45,"확정","미달")))</f>
        <v/>
      </c>
      <c r="M45" s="38" t="n"/>
      <c r="N45" s="38" t="n"/>
      <c r="O45" s="38" t="n"/>
      <c r="P45" s="40" t="n"/>
      <c r="Q45" s="38" t="n"/>
      <c r="R45" s="38" t="n"/>
      <c r="S45" s="40" t="n"/>
      <c r="T45" s="40" t="n"/>
      <c r="U45" s="40" t="n"/>
      <c r="V45" s="40" t="n"/>
      <c r="W45" s="40" t="n"/>
      <c r="X45" s="41" t="n"/>
      <c r="Y45" s="38" t="n"/>
      <c r="Z45" s="38" t="n"/>
      <c r="AA45" s="38" t="n"/>
      <c r="AB45" s="41" t="n"/>
      <c r="AC45" s="40" t="n"/>
      <c r="AD45" s="38" t="n"/>
      <c r="AE45" s="38" t="n"/>
      <c r="AF45" s="38" t="n"/>
      <c r="AG45" s="38" t="n"/>
      <c r="AH45" s="38" t="n"/>
      <c r="AI45" s="38" t="n"/>
      <c r="AJ45" s="42" t="n"/>
      <c r="AK45" s="42" t="n"/>
      <c r="AL45" s="54" t="n"/>
      <c r="AM45" s="54" t="n"/>
    </row>
    <row r="46" ht="15" customHeight="1" s="24">
      <c r="A46" s="38" t="n"/>
      <c r="B46" s="38" t="n"/>
      <c r="C46" s="38" t="n"/>
      <c r="D46" s="38" t="n"/>
      <c r="E46" s="38" t="n"/>
      <c r="F46" s="38" t="n"/>
      <c r="G46" s="38" t="n"/>
      <c r="H46" s="38" t="n"/>
      <c r="I46" s="38" t="n"/>
      <c r="J46" s="38" t="n"/>
      <c r="K46" s="39">
        <f>IF($A46="","",COUNTIF(수강생!$A:$A,$A46))</f>
        <v/>
      </c>
      <c r="L46" s="39">
        <f>IF($A46="","",IF($H46="A","확정",IF(K46&gt;=I46,"확정","미달")))</f>
        <v/>
      </c>
      <c r="M46" s="38" t="n"/>
      <c r="N46" s="38" t="n"/>
      <c r="O46" s="38" t="n"/>
      <c r="P46" s="40" t="n"/>
      <c r="Q46" s="38" t="n"/>
      <c r="R46" s="38" t="n"/>
      <c r="S46" s="40" t="n"/>
      <c r="T46" s="40" t="n"/>
      <c r="U46" s="40" t="n"/>
      <c r="V46" s="40" t="n"/>
      <c r="W46" s="40" t="n"/>
      <c r="X46" s="41" t="n"/>
      <c r="Y46" s="38" t="n"/>
      <c r="Z46" s="38" t="n"/>
      <c r="AA46" s="38" t="n"/>
      <c r="AB46" s="41" t="n"/>
      <c r="AC46" s="40" t="n"/>
      <c r="AD46" s="38" t="n"/>
      <c r="AE46" s="38" t="n"/>
      <c r="AF46" s="38" t="n"/>
      <c r="AG46" s="38" t="n"/>
      <c r="AH46" s="38" t="n"/>
      <c r="AI46" s="38" t="n"/>
      <c r="AJ46" s="42" t="n"/>
      <c r="AK46" s="42" t="n"/>
      <c r="AL46" s="54" t="n"/>
      <c r="AM46" s="54" t="n"/>
    </row>
    <row r="47" ht="15" customHeight="1" s="24">
      <c r="A47" s="38" t="n"/>
      <c r="B47" s="38" t="n"/>
      <c r="C47" s="38" t="n"/>
      <c r="D47" s="38" t="n"/>
      <c r="E47" s="38" t="n"/>
      <c r="F47" s="38" t="n"/>
      <c r="G47" s="38" t="n"/>
      <c r="H47" s="38" t="n"/>
      <c r="I47" s="38" t="n"/>
      <c r="J47" s="38" t="n"/>
      <c r="K47" s="39">
        <f>IF($A47="","",COUNTIF(수강생!$A:$A,$A47))</f>
        <v/>
      </c>
      <c r="L47" s="39">
        <f>IF($A47="","",IF($H47="A","확정",IF(K47&gt;=I47,"확정","미달")))</f>
        <v/>
      </c>
      <c r="M47" s="38" t="n"/>
      <c r="N47" s="38" t="n"/>
      <c r="O47" s="38" t="n"/>
      <c r="P47" s="40" t="n"/>
      <c r="Q47" s="38" t="n"/>
      <c r="R47" s="38" t="n"/>
      <c r="S47" s="40" t="n"/>
      <c r="T47" s="40" t="n"/>
      <c r="U47" s="40" t="n"/>
      <c r="V47" s="40" t="n"/>
      <c r="W47" s="40" t="n"/>
      <c r="X47" s="41" t="n"/>
      <c r="Y47" s="38" t="n"/>
      <c r="Z47" s="38" t="n"/>
      <c r="AA47" s="38" t="n"/>
      <c r="AB47" s="41" t="n"/>
      <c r="AC47" s="40" t="n"/>
      <c r="AD47" s="38" t="n"/>
      <c r="AE47" s="38" t="n"/>
      <c r="AF47" s="38" t="n"/>
      <c r="AG47" s="38" t="n"/>
      <c r="AH47" s="38" t="n"/>
      <c r="AI47" s="38" t="n"/>
      <c r="AJ47" s="42" t="n"/>
      <c r="AK47" s="42" t="n"/>
      <c r="AL47" s="54" t="n"/>
      <c r="AM47" s="54" t="n"/>
    </row>
    <row r="48" ht="15" customHeight="1" s="24">
      <c r="A48" s="38" t="n"/>
      <c r="B48" s="38" t="n"/>
      <c r="C48" s="38" t="n"/>
      <c r="D48" s="38" t="n"/>
      <c r="E48" s="38" t="n"/>
      <c r="F48" s="38" t="n"/>
      <c r="G48" s="38" t="n"/>
      <c r="H48" s="38" t="n"/>
      <c r="I48" s="38" t="n"/>
      <c r="J48" s="38" t="n"/>
      <c r="K48" s="39">
        <f>IF($A48="","",COUNTIF(수강생!$A:$A,$A48))</f>
        <v/>
      </c>
      <c r="L48" s="39">
        <f>IF($A48="","",IF($H48="A","확정",IF(K48&gt;=I48,"확정","미달")))</f>
        <v/>
      </c>
      <c r="M48" s="38" t="n"/>
      <c r="N48" s="38" t="n"/>
      <c r="O48" s="38" t="n"/>
      <c r="P48" s="40" t="n"/>
      <c r="Q48" s="38" t="n"/>
      <c r="R48" s="38" t="n"/>
      <c r="S48" s="40" t="n"/>
      <c r="T48" s="40" t="n"/>
      <c r="U48" s="40" t="n"/>
      <c r="V48" s="40" t="n"/>
      <c r="W48" s="40" t="n"/>
      <c r="X48" s="41" t="n"/>
      <c r="Y48" s="38" t="n"/>
      <c r="Z48" s="38" t="n"/>
      <c r="AA48" s="38" t="n"/>
      <c r="AB48" s="41" t="n"/>
      <c r="AC48" s="40" t="n"/>
      <c r="AD48" s="38" t="n"/>
      <c r="AE48" s="38" t="n"/>
      <c r="AF48" s="38" t="n"/>
      <c r="AG48" s="38" t="n"/>
      <c r="AH48" s="38" t="n"/>
      <c r="AI48" s="38" t="n"/>
      <c r="AJ48" s="42" t="n"/>
      <c r="AK48" s="42" t="n"/>
      <c r="AL48" s="54" t="n"/>
      <c r="AM48" s="54" t="n"/>
    </row>
    <row r="49" ht="15" customHeight="1" s="24">
      <c r="A49" s="38" t="n"/>
      <c r="B49" s="38" t="n"/>
      <c r="C49" s="38" t="n"/>
      <c r="D49" s="38" t="n"/>
      <c r="E49" s="38" t="n"/>
      <c r="F49" s="38" t="n"/>
      <c r="G49" s="38" t="n"/>
      <c r="H49" s="38" t="n"/>
      <c r="I49" s="38" t="n"/>
      <c r="J49" s="38" t="n"/>
      <c r="K49" s="39">
        <f>IF($A49="","",COUNTIF(수강생!$A:$A,$A49))</f>
        <v/>
      </c>
      <c r="L49" s="39">
        <f>IF($A49="","",IF($H49="A","확정",IF(K49&gt;=I49,"확정","미달")))</f>
        <v/>
      </c>
      <c r="M49" s="38" t="n"/>
      <c r="N49" s="38" t="n"/>
      <c r="O49" s="38" t="n"/>
      <c r="P49" s="40" t="n"/>
      <c r="Q49" s="38" t="n"/>
      <c r="R49" s="38" t="n"/>
      <c r="S49" s="40" t="n"/>
      <c r="T49" s="40" t="n"/>
      <c r="U49" s="40" t="n"/>
      <c r="V49" s="40" t="n"/>
      <c r="W49" s="40" t="n"/>
      <c r="X49" s="41" t="n"/>
      <c r="Y49" s="38" t="n"/>
      <c r="Z49" s="38" t="n"/>
      <c r="AA49" s="38" t="n"/>
      <c r="AB49" s="41" t="n"/>
      <c r="AC49" s="40" t="n"/>
      <c r="AD49" s="38" t="n"/>
      <c r="AE49" s="38" t="n"/>
      <c r="AF49" s="38" t="n"/>
      <c r="AG49" s="38" t="n"/>
      <c r="AH49" s="38" t="n"/>
      <c r="AI49" s="38" t="n"/>
      <c r="AJ49" s="42" t="n"/>
      <c r="AK49" s="42" t="n"/>
      <c r="AL49" s="54" t="n"/>
      <c r="AM49" s="54" t="n"/>
    </row>
    <row r="50" ht="15" customHeight="1" s="24">
      <c r="A50" s="38" t="n"/>
      <c r="B50" s="38" t="n"/>
      <c r="C50" s="38" t="n"/>
      <c r="D50" s="38" t="n"/>
      <c r="E50" s="38" t="n"/>
      <c r="F50" s="38" t="n"/>
      <c r="G50" s="38" t="n"/>
      <c r="H50" s="38" t="n"/>
      <c r="I50" s="38" t="n"/>
      <c r="J50" s="38" t="n"/>
      <c r="K50" s="39">
        <f>IF($A50="","",COUNTIF(수강생!$A:$A,$A50))</f>
        <v/>
      </c>
      <c r="L50" s="39">
        <f>IF($A50="","",IF($H50="A","확정",IF(K50&gt;=I50,"확정","미달")))</f>
        <v/>
      </c>
      <c r="M50" s="38" t="n"/>
      <c r="N50" s="38" t="n"/>
      <c r="O50" s="38" t="n"/>
      <c r="P50" s="40" t="n"/>
      <c r="Q50" s="38" t="n"/>
      <c r="R50" s="38" t="n"/>
      <c r="S50" s="40" t="n"/>
      <c r="T50" s="40" t="n"/>
      <c r="U50" s="40" t="n"/>
      <c r="V50" s="40" t="n"/>
      <c r="W50" s="40" t="n"/>
      <c r="X50" s="41" t="n"/>
      <c r="Y50" s="38" t="n"/>
      <c r="Z50" s="38" t="n"/>
      <c r="AA50" s="38" t="n"/>
      <c r="AB50" s="41" t="n"/>
      <c r="AC50" s="40" t="n"/>
      <c r="AD50" s="38" t="n"/>
      <c r="AE50" s="38" t="n"/>
      <c r="AF50" s="38" t="n"/>
      <c r="AG50" s="38" t="n"/>
      <c r="AH50" s="38" t="n"/>
      <c r="AI50" s="38" t="n"/>
      <c r="AJ50" s="42" t="n"/>
      <c r="AK50" s="42" t="n"/>
      <c r="AL50" s="54" t="n"/>
      <c r="AM50" s="54" t="n"/>
    </row>
    <row r="51" ht="15" customHeight="1" s="24">
      <c r="A51" s="38" t="n"/>
      <c r="B51" s="38" t="n"/>
      <c r="C51" s="38" t="n"/>
      <c r="D51" s="38" t="n"/>
      <c r="E51" s="38" t="n"/>
      <c r="F51" s="38" t="n"/>
      <c r="G51" s="38" t="n"/>
      <c r="H51" s="38" t="n"/>
      <c r="I51" s="38" t="n"/>
      <c r="J51" s="38" t="n"/>
      <c r="K51" s="39">
        <f>IF($A51="","",COUNTIF(수강생!$A:$A,$A51))</f>
        <v/>
      </c>
      <c r="L51" s="39">
        <f>IF($A51="","",IF($H51="A","확정",IF(K51&gt;=I51,"확정","미달")))</f>
        <v/>
      </c>
      <c r="M51" s="38" t="n"/>
      <c r="N51" s="38" t="n"/>
      <c r="O51" s="38" t="n"/>
      <c r="P51" s="40" t="n"/>
      <c r="Q51" s="38" t="n"/>
      <c r="R51" s="38" t="n"/>
      <c r="S51" s="40" t="n"/>
      <c r="T51" s="40" t="n"/>
      <c r="U51" s="40" t="n"/>
      <c r="V51" s="40" t="n"/>
      <c r="W51" s="40" t="n"/>
      <c r="X51" s="41" t="n"/>
      <c r="Y51" s="38" t="n"/>
      <c r="Z51" s="38" t="n"/>
      <c r="AA51" s="38" t="n"/>
      <c r="AB51" s="41" t="n"/>
      <c r="AC51" s="40" t="n"/>
      <c r="AD51" s="38" t="n"/>
      <c r="AE51" s="38" t="n"/>
      <c r="AF51" s="38" t="n"/>
      <c r="AG51" s="38" t="n"/>
      <c r="AH51" s="38" t="n"/>
      <c r="AI51" s="38" t="n"/>
      <c r="AJ51" s="42" t="n"/>
      <c r="AK51" s="42" t="n"/>
      <c r="AL51" s="54" t="n"/>
      <c r="AM51" s="54" t="n"/>
    </row>
    <row r="52" ht="15" customHeight="1" s="24">
      <c r="A52" s="38" t="n"/>
      <c r="B52" s="38" t="n"/>
      <c r="C52" s="38" t="n"/>
      <c r="D52" s="38" t="n"/>
      <c r="E52" s="38" t="n"/>
      <c r="F52" s="38" t="n"/>
      <c r="G52" s="38" t="n"/>
      <c r="H52" s="38" t="n"/>
      <c r="I52" s="38" t="n"/>
      <c r="J52" s="38" t="n"/>
      <c r="K52" s="39">
        <f>IF($A52="","",COUNTIF(수강생!$A:$A,$A52))</f>
        <v/>
      </c>
      <c r="L52" s="39">
        <f>IF($A52="","",IF($H52="A","확정",IF(K52&gt;=I52,"확정","미달")))</f>
        <v/>
      </c>
      <c r="M52" s="38" t="n"/>
      <c r="N52" s="38" t="n"/>
      <c r="O52" s="38" t="n"/>
      <c r="P52" s="40" t="n"/>
      <c r="Q52" s="38" t="n"/>
      <c r="R52" s="38" t="n"/>
      <c r="S52" s="40" t="n"/>
      <c r="T52" s="40" t="n"/>
      <c r="U52" s="40" t="n"/>
      <c r="V52" s="40" t="n"/>
      <c r="W52" s="40" t="n"/>
      <c r="X52" s="41" t="n"/>
      <c r="Y52" s="38" t="n"/>
      <c r="Z52" s="38" t="n"/>
      <c r="AA52" s="38" t="n"/>
      <c r="AB52" s="41" t="n"/>
      <c r="AC52" s="40" t="n"/>
      <c r="AD52" s="38" t="n"/>
      <c r="AE52" s="38" t="n"/>
      <c r="AF52" s="38" t="n"/>
      <c r="AG52" s="38" t="n"/>
      <c r="AH52" s="38" t="n"/>
      <c r="AI52" s="38" t="n"/>
      <c r="AJ52" s="42" t="n"/>
      <c r="AK52" s="42" t="n"/>
      <c r="AL52" s="54" t="n"/>
      <c r="AM52" s="54" t="n"/>
    </row>
    <row r="53" ht="15" customHeight="1" s="24">
      <c r="A53" s="38" t="n"/>
      <c r="B53" s="38" t="n"/>
      <c r="C53" s="38" t="n"/>
      <c r="D53" s="38" t="n"/>
      <c r="E53" s="38" t="n"/>
      <c r="F53" s="38" t="n"/>
      <c r="G53" s="38" t="n"/>
      <c r="H53" s="38" t="n"/>
      <c r="I53" s="38" t="n"/>
      <c r="J53" s="38" t="n"/>
      <c r="K53" s="39">
        <f>IF($A53="","",COUNTIF(수강생!$A:$A,$A53))</f>
        <v/>
      </c>
      <c r="L53" s="39">
        <f>IF($A53="","",IF($H53="A","확정",IF(K53&gt;=I53,"확정","미달")))</f>
        <v/>
      </c>
      <c r="M53" s="38" t="n"/>
      <c r="N53" s="38" t="n"/>
      <c r="O53" s="38" t="n"/>
      <c r="P53" s="40" t="n"/>
      <c r="Q53" s="38" t="n"/>
      <c r="R53" s="38" t="n"/>
      <c r="S53" s="40" t="n"/>
      <c r="T53" s="40" t="n"/>
      <c r="U53" s="40" t="n"/>
      <c r="V53" s="40" t="n"/>
      <c r="W53" s="40" t="n"/>
      <c r="X53" s="41" t="n"/>
      <c r="Y53" s="38" t="n"/>
      <c r="Z53" s="38" t="n"/>
      <c r="AA53" s="38" t="n"/>
      <c r="AB53" s="41" t="n"/>
      <c r="AC53" s="40" t="n"/>
      <c r="AD53" s="38" t="n"/>
      <c r="AE53" s="38" t="n"/>
      <c r="AF53" s="38" t="n"/>
      <c r="AG53" s="38" t="n"/>
      <c r="AH53" s="38" t="n"/>
      <c r="AI53" s="38" t="n"/>
      <c r="AJ53" s="42" t="n"/>
      <c r="AK53" s="42" t="n"/>
      <c r="AL53" s="54" t="n"/>
      <c r="AM53" s="54" t="n"/>
    </row>
    <row r="54" ht="15" customHeight="1" s="24">
      <c r="A54" s="38" t="n"/>
      <c r="B54" s="38" t="n"/>
      <c r="C54" s="38" t="n"/>
      <c r="D54" s="38" t="n"/>
      <c r="E54" s="38" t="n"/>
      <c r="F54" s="38" t="n"/>
      <c r="G54" s="38" t="n"/>
      <c r="H54" s="38" t="n"/>
      <c r="I54" s="38" t="n"/>
      <c r="J54" s="38" t="n"/>
      <c r="K54" s="39">
        <f>IF($A54="","",COUNTIF(수강생!$A:$A,$A54))</f>
        <v/>
      </c>
      <c r="L54" s="39">
        <f>IF($A54="","",IF($H54="A","확정",IF(K54&gt;=I54,"확정","미달")))</f>
        <v/>
      </c>
      <c r="M54" s="38" t="n"/>
      <c r="N54" s="38" t="n"/>
      <c r="O54" s="38" t="n"/>
      <c r="P54" s="40" t="n"/>
      <c r="Q54" s="38" t="n"/>
      <c r="R54" s="38" t="n"/>
      <c r="S54" s="40" t="n"/>
      <c r="T54" s="40" t="n"/>
      <c r="U54" s="40" t="n"/>
      <c r="V54" s="40" t="n"/>
      <c r="W54" s="40" t="n"/>
      <c r="X54" s="41" t="n"/>
      <c r="Y54" s="38" t="n"/>
      <c r="Z54" s="38" t="n"/>
      <c r="AA54" s="38" t="n"/>
      <c r="AB54" s="41" t="n"/>
      <c r="AC54" s="40" t="n"/>
      <c r="AD54" s="38" t="n"/>
      <c r="AE54" s="38" t="n"/>
      <c r="AF54" s="38" t="n"/>
      <c r="AG54" s="38" t="n"/>
      <c r="AH54" s="38" t="n"/>
      <c r="AI54" s="38" t="n"/>
      <c r="AJ54" s="42" t="n"/>
      <c r="AK54" s="42" t="n"/>
      <c r="AL54" s="54" t="n"/>
      <c r="AM54" s="54" t="n"/>
    </row>
    <row r="55" ht="15" customHeight="1" s="24">
      <c r="A55" s="38" t="n"/>
      <c r="B55" s="38" t="n"/>
      <c r="C55" s="38" t="n"/>
      <c r="D55" s="38" t="n"/>
      <c r="E55" s="38" t="n"/>
      <c r="F55" s="38" t="n"/>
      <c r="G55" s="38" t="n"/>
      <c r="H55" s="38" t="n"/>
      <c r="I55" s="38" t="n"/>
      <c r="J55" s="38" t="n"/>
      <c r="K55" s="39">
        <f>IF($A55="","",COUNTIF(수강생!$A:$A,$A55))</f>
        <v/>
      </c>
      <c r="L55" s="39">
        <f>IF($A55="","",IF($H55="A","확정",IF(K55&gt;=I55,"확정","미달")))</f>
        <v/>
      </c>
      <c r="M55" s="38" t="n"/>
      <c r="N55" s="38" t="n"/>
      <c r="O55" s="38" t="n"/>
      <c r="P55" s="40" t="n"/>
      <c r="Q55" s="38" t="n"/>
      <c r="R55" s="38" t="n"/>
      <c r="S55" s="40" t="n"/>
      <c r="T55" s="40" t="n"/>
      <c r="U55" s="40" t="n"/>
      <c r="V55" s="40" t="n"/>
      <c r="W55" s="40" t="n"/>
      <c r="X55" s="41" t="n"/>
      <c r="Y55" s="38" t="n"/>
      <c r="Z55" s="38" t="n"/>
      <c r="AA55" s="38" t="n"/>
      <c r="AB55" s="41" t="n"/>
      <c r="AC55" s="40" t="n"/>
      <c r="AD55" s="38" t="n"/>
      <c r="AE55" s="38" t="n"/>
      <c r="AF55" s="38" t="n"/>
      <c r="AG55" s="38" t="n"/>
      <c r="AH55" s="38" t="n"/>
      <c r="AI55" s="38" t="n"/>
      <c r="AJ55" s="42" t="n"/>
      <c r="AK55" s="42" t="n"/>
      <c r="AL55" s="54" t="n"/>
      <c r="AM55" s="54" t="n"/>
    </row>
    <row r="56" ht="15" customHeight="1" s="24">
      <c r="A56" s="38" t="n"/>
      <c r="B56" s="38" t="n"/>
      <c r="C56" s="38" t="n"/>
      <c r="D56" s="38" t="n"/>
      <c r="E56" s="38" t="n"/>
      <c r="F56" s="38" t="n"/>
      <c r="G56" s="38" t="n"/>
      <c r="H56" s="38" t="n"/>
      <c r="I56" s="38" t="n"/>
      <c r="J56" s="38" t="n"/>
      <c r="K56" s="39">
        <f>IF($A56="","",COUNTIF(수강생!$A:$A,$A56))</f>
        <v/>
      </c>
      <c r="L56" s="39">
        <f>IF($A56="","",IF($H56="A","확정",IF(K56&gt;=I56,"확정","미달")))</f>
        <v/>
      </c>
      <c r="M56" s="38" t="n"/>
      <c r="N56" s="38" t="n"/>
      <c r="O56" s="38" t="n"/>
      <c r="P56" s="40" t="n"/>
      <c r="Q56" s="38" t="n"/>
      <c r="R56" s="38" t="n"/>
      <c r="S56" s="40" t="n"/>
      <c r="T56" s="40" t="n"/>
      <c r="U56" s="40" t="n"/>
      <c r="V56" s="40" t="n"/>
      <c r="W56" s="40" t="n"/>
      <c r="X56" s="41" t="n"/>
      <c r="Y56" s="38" t="n"/>
      <c r="Z56" s="38" t="n"/>
      <c r="AA56" s="38" t="n"/>
      <c r="AB56" s="41" t="n"/>
      <c r="AC56" s="40" t="n"/>
      <c r="AD56" s="38" t="n"/>
      <c r="AE56" s="38" t="n"/>
      <c r="AF56" s="38" t="n"/>
      <c r="AG56" s="38" t="n"/>
      <c r="AH56" s="38" t="n"/>
      <c r="AI56" s="38" t="n"/>
      <c r="AJ56" s="42" t="n"/>
      <c r="AK56" s="42" t="n"/>
      <c r="AL56" s="54" t="n"/>
      <c r="AM56" s="54" t="n"/>
    </row>
    <row r="57" ht="15" customHeight="1" s="24">
      <c r="A57" s="38" t="n"/>
      <c r="B57" s="38" t="n"/>
      <c r="C57" s="38" t="n"/>
      <c r="D57" s="38" t="n"/>
      <c r="E57" s="38" t="n"/>
      <c r="F57" s="38" t="n"/>
      <c r="G57" s="38" t="n"/>
      <c r="H57" s="38" t="n"/>
      <c r="I57" s="38" t="n"/>
      <c r="J57" s="38" t="n"/>
      <c r="K57" s="39">
        <f>IF($A57="","",COUNTIF(수강생!$A:$A,$A57))</f>
        <v/>
      </c>
      <c r="L57" s="39">
        <f>IF($A57="","",IF($H57="A","확정",IF(K57&gt;=I57,"확정","미달")))</f>
        <v/>
      </c>
      <c r="M57" s="38" t="n"/>
      <c r="N57" s="38" t="n"/>
      <c r="O57" s="38" t="n"/>
      <c r="P57" s="40" t="n"/>
      <c r="Q57" s="38" t="n"/>
      <c r="R57" s="38" t="n"/>
      <c r="S57" s="40" t="n"/>
      <c r="T57" s="40" t="n"/>
      <c r="U57" s="40" t="n"/>
      <c r="V57" s="40" t="n"/>
      <c r="W57" s="40" t="n"/>
      <c r="X57" s="41" t="n"/>
      <c r="Y57" s="38" t="n"/>
      <c r="Z57" s="38" t="n"/>
      <c r="AA57" s="38" t="n"/>
      <c r="AB57" s="41" t="n"/>
      <c r="AC57" s="40" t="n"/>
      <c r="AD57" s="38" t="n"/>
      <c r="AE57" s="38" t="n"/>
      <c r="AF57" s="38" t="n"/>
      <c r="AG57" s="38" t="n"/>
      <c r="AH57" s="38" t="n"/>
      <c r="AI57" s="38" t="n"/>
      <c r="AJ57" s="42" t="n"/>
      <c r="AK57" s="42" t="n"/>
      <c r="AL57" s="54" t="n"/>
      <c r="AM57" s="54" t="n"/>
    </row>
    <row r="58" ht="15" customHeight="1" s="24">
      <c r="A58" s="38" t="n"/>
      <c r="B58" s="38" t="n"/>
      <c r="C58" s="38" t="n"/>
      <c r="D58" s="38" t="n"/>
      <c r="E58" s="38" t="n"/>
      <c r="F58" s="38" t="n"/>
      <c r="G58" s="38" t="n"/>
      <c r="H58" s="38" t="n"/>
      <c r="I58" s="38" t="n"/>
      <c r="J58" s="38" t="n"/>
      <c r="K58" s="39">
        <f>IF($A58="","",COUNTIF(수강생!$A:$A,$A58))</f>
        <v/>
      </c>
      <c r="L58" s="39">
        <f>IF($A58="","",IF($H58="A","확정",IF(K58&gt;=I58,"확정","미달")))</f>
        <v/>
      </c>
      <c r="M58" s="38" t="n"/>
      <c r="N58" s="38" t="n"/>
      <c r="O58" s="38" t="n"/>
      <c r="P58" s="40" t="n"/>
      <c r="Q58" s="38" t="n"/>
      <c r="R58" s="38" t="n"/>
      <c r="S58" s="40" t="n"/>
      <c r="T58" s="40" t="n"/>
      <c r="U58" s="40" t="n"/>
      <c r="V58" s="40" t="n"/>
      <c r="W58" s="40" t="n"/>
      <c r="X58" s="41" t="n"/>
      <c r="Y58" s="38" t="n"/>
      <c r="Z58" s="38" t="n"/>
      <c r="AA58" s="38" t="n"/>
      <c r="AB58" s="41" t="n"/>
      <c r="AC58" s="40" t="n"/>
      <c r="AD58" s="38" t="n"/>
      <c r="AE58" s="38" t="n"/>
      <c r="AF58" s="38" t="n"/>
      <c r="AG58" s="38" t="n"/>
      <c r="AH58" s="38" t="n"/>
      <c r="AI58" s="38" t="n"/>
      <c r="AJ58" s="42" t="n"/>
      <c r="AK58" s="42" t="n"/>
      <c r="AL58" s="54" t="n"/>
      <c r="AM58" s="54" t="n"/>
    </row>
    <row r="59" ht="15" customHeight="1" s="24">
      <c r="A59" s="38" t="n"/>
      <c r="B59" s="38" t="n"/>
      <c r="C59" s="38" t="n"/>
      <c r="D59" s="38" t="n"/>
      <c r="E59" s="38" t="n"/>
      <c r="F59" s="38" t="n"/>
      <c r="G59" s="38" t="n"/>
      <c r="H59" s="38" t="n"/>
      <c r="I59" s="38" t="n"/>
      <c r="J59" s="38" t="n"/>
      <c r="K59" s="39">
        <f>IF($A59="","",COUNTIF(수강생!$A:$A,$A59))</f>
        <v/>
      </c>
      <c r="L59" s="39">
        <f>IF($A59="","",IF($H59="A","확정",IF(K59&gt;=I59,"확정","미달")))</f>
        <v/>
      </c>
      <c r="M59" s="38" t="n"/>
      <c r="N59" s="38" t="n"/>
      <c r="O59" s="38" t="n"/>
      <c r="P59" s="40" t="n"/>
      <c r="Q59" s="38" t="n"/>
      <c r="R59" s="38" t="n"/>
      <c r="S59" s="40" t="n"/>
      <c r="T59" s="40" t="n"/>
      <c r="U59" s="40" t="n"/>
      <c r="V59" s="40" t="n"/>
      <c r="W59" s="40" t="n"/>
      <c r="X59" s="41" t="n"/>
      <c r="Y59" s="38" t="n"/>
      <c r="Z59" s="38" t="n"/>
      <c r="AA59" s="38" t="n"/>
      <c r="AB59" s="41" t="n"/>
      <c r="AC59" s="40" t="n"/>
      <c r="AD59" s="38" t="n"/>
      <c r="AE59" s="38" t="n"/>
      <c r="AF59" s="38" t="n"/>
      <c r="AG59" s="38" t="n"/>
      <c r="AH59" s="38" t="n"/>
      <c r="AI59" s="38" t="n"/>
      <c r="AJ59" s="42" t="n"/>
      <c r="AK59" s="42" t="n"/>
      <c r="AL59" s="54" t="n"/>
      <c r="AM59" s="54" t="n"/>
    </row>
    <row r="60" ht="15" customHeight="1" s="24">
      <c r="A60" s="38" t="n"/>
      <c r="B60" s="38" t="n"/>
      <c r="C60" s="38" t="n"/>
      <c r="D60" s="38" t="n"/>
      <c r="E60" s="38" t="n"/>
      <c r="F60" s="38" t="n"/>
      <c r="G60" s="38" t="n"/>
      <c r="H60" s="38" t="n"/>
      <c r="I60" s="38" t="n"/>
      <c r="J60" s="38" t="n"/>
      <c r="K60" s="39">
        <f>IF($A60="","",COUNTIF(수강생!$A:$A,$A60))</f>
        <v/>
      </c>
      <c r="L60" s="39">
        <f>IF($A60="","",IF($H60="A","확정",IF(K60&gt;=I60,"확정","미달")))</f>
        <v/>
      </c>
      <c r="M60" s="38" t="n"/>
      <c r="N60" s="38" t="n"/>
      <c r="O60" s="38" t="n"/>
      <c r="P60" s="40" t="n"/>
      <c r="Q60" s="38" t="n"/>
      <c r="R60" s="38" t="n"/>
      <c r="S60" s="40" t="n"/>
      <c r="T60" s="40" t="n"/>
      <c r="U60" s="40" t="n"/>
      <c r="V60" s="40" t="n"/>
      <c r="W60" s="40" t="n"/>
      <c r="X60" s="41" t="n"/>
      <c r="Y60" s="38" t="n"/>
      <c r="Z60" s="38" t="n"/>
      <c r="AA60" s="38" t="n"/>
      <c r="AB60" s="41" t="n"/>
      <c r="AC60" s="40" t="n"/>
      <c r="AD60" s="38" t="n"/>
      <c r="AE60" s="38" t="n"/>
      <c r="AF60" s="38" t="n"/>
      <c r="AG60" s="38" t="n"/>
      <c r="AH60" s="38" t="n"/>
      <c r="AI60" s="38" t="n"/>
      <c r="AJ60" s="42" t="n"/>
      <c r="AK60" s="42" t="n"/>
      <c r="AL60" s="54" t="n"/>
      <c r="AM60" s="54" t="n"/>
    </row>
  </sheetData>
  <dataValidations count="9">
    <dataValidation sqref="D2:D60" showDropDown="0" showInputMessage="0" showErrorMessage="0" allowBlank="1" type="list" errorStyle="stop" operator="between">
      <formula1>"온라인,오프라인"</formula1>
      <formula2>0</formula2>
    </dataValidation>
    <dataValidation sqref="H2:H60" showDropDown="0" showInputMessage="0" showErrorMessage="0" allowBlank="1" type="list" errorStyle="stop" operator="between">
      <formula1>"A,B"</formula1>
      <formula2>0</formula2>
    </dataValidation>
    <dataValidation sqref="Q2:Q60" showDropDown="0" showInputMessage="0" showErrorMessage="0" allowBlank="1" type="list" errorStyle="stop" operator="between">
      <formula1>"별도,포함"</formula1>
      <formula2>0</formula2>
    </dataValidation>
    <dataValidation sqref="R2:R60" showDropDown="0" showInputMessage="0" showErrorMessage="0" allowBlank="1" type="list" errorStyle="stop" operator="between">
      <formula1>"A,B"</formula1>
      <formula2>0</formula2>
    </dataValidation>
    <dataValidation sqref="Z2:Z60" showDropDown="0" showInputMessage="0" showErrorMessage="0" allowBlank="1" type="list" errorStyle="stop" operator="between">
      <formula1>"개인,사업자"</formula1>
      <formula2>0</formula2>
    </dataValidation>
    <dataValidation sqref="AA2:AA60" showDropDown="0" showInputMessage="0" showErrorMessage="0" allowBlank="1" type="list" errorStyle="stop" operator="between">
      <formula1>"인당1만,수수료%"</formula1>
      <formula2>0</formula2>
    </dataValidation>
    <dataValidation sqref="AH2:AH200" showDropDown="0" showInputMessage="0" showErrorMessage="0" allowBlank="1" type="list">
      <formula1>"기획중,모집중,확정,미달,수업완료,보류"</formula1>
    </dataValidation>
    <dataValidation sqref="AL2:AL200" showDropDown="0" showInputMessage="0" showErrorMessage="0" allowBlank="1" type="list">
      <formula1>"입금대기,입금완료"</formula1>
    </dataValidation>
    <dataValidation sqref="AM2:AM200" showDropDown="0" showInputMessage="0" showErrorMessage="0" allowBlank="1" type="list">
      <formula1>"지급대기,지급완료"</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S6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23" min="1" max="1"/>
    <col width="26" customWidth="1" style="23" min="2" max="2"/>
    <col width="34" customWidth="1" style="23" min="3" max="3"/>
    <col width="44" customWidth="1" style="23" min="4" max="4"/>
    <col width="8" customWidth="1" style="23" min="5" max="5"/>
    <col width="10" customWidth="1" style="23" min="6" max="7"/>
    <col width="30" customWidth="1" style="23" min="8" max="10"/>
    <col width="20" customWidth="1" style="23" min="11" max="11"/>
    <col width="30" customWidth="1" style="23" min="12" max="13"/>
    <col width="26" customWidth="1" style="23" min="14" max="15"/>
    <col width="40" customWidth="1" style="23" min="16" max="16"/>
    <col width="30" customWidth="1" style="23" min="17" max="17"/>
    <col width="30" customWidth="1" style="24" min="18" max="18"/>
    <col width="40" customWidth="1" style="24" min="19" max="19"/>
  </cols>
  <sheetData>
    <row r="1" ht="30" customHeight="1" s="24">
      <c r="A1" s="36" t="inlineStr">
        <is>
          <t>회차ID</t>
        </is>
      </c>
      <c r="B1" s="36" t="inlineStr">
        <is>
          <t>강의명</t>
        </is>
      </c>
      <c r="C1" s="36" t="inlineStr">
        <is>
          <t>소개문</t>
        </is>
      </c>
      <c r="D1" s="36" t="inlineStr">
        <is>
          <t>강의내용상세</t>
        </is>
      </c>
      <c r="E1" s="36" t="inlineStr">
        <is>
          <t>대상</t>
        </is>
      </c>
      <c r="F1" s="36" t="inlineStr">
        <is>
          <t>선발방식</t>
        </is>
      </c>
      <c r="G1" s="36" t="inlineStr">
        <is>
          <t>소요시간</t>
        </is>
      </c>
      <c r="H1" s="36" t="inlineStr">
        <is>
          <t>키트구성품</t>
        </is>
      </c>
      <c r="I1" s="36" t="inlineStr">
        <is>
          <t>개별준비물</t>
        </is>
      </c>
      <c r="J1" s="36" t="inlineStr">
        <is>
          <t>강사이력</t>
        </is>
      </c>
      <c r="K1" s="36" t="inlineStr">
        <is>
          <t>해시태그</t>
        </is>
      </c>
      <c r="L1" s="36" t="inlineStr">
        <is>
          <t>배송안내</t>
        </is>
      </c>
      <c r="M1" s="36" t="inlineStr">
        <is>
          <t>참여안내</t>
        </is>
      </c>
      <c r="N1" s="36" t="inlineStr">
        <is>
          <t>장소상세</t>
        </is>
      </c>
      <c r="O1" s="36" t="inlineStr">
        <is>
          <t>동반인규정</t>
        </is>
      </c>
      <c r="P1" s="36" t="inlineStr">
        <is>
          <t>재료구성</t>
        </is>
      </c>
      <c r="Q1" s="36" t="inlineStr">
        <is>
          <t>줌링크</t>
        </is>
      </c>
      <c r="R1" s="45" t="inlineStr">
        <is>
          <t>견적코드</t>
        </is>
      </c>
      <c r="S1" s="45" t="inlineStr">
        <is>
          <t>레시피</t>
        </is>
      </c>
    </row>
    <row r="2" ht="15" customHeight="1" s="24">
      <c r="A2" s="42" t="inlineStr">
        <is>
          <t>GS-2604</t>
        </is>
      </c>
      <c r="B2" s="42" t="inlineStr">
        <is>
          <t>봄향기 가득, 시원하고 깊은 맛의 '냉이 꽃게탕'</t>
        </is>
      </c>
      <c r="C2" s="42" t="inlineStr">
        <is>
          <t>봄 제철 식재료인 냉이를 활용해 집에서도 전문점처럼 깊은 국물 맛을 낼 수 있는 꽃게탕 조리법을 배우는 수업입니다.</t>
        </is>
      </c>
      <c r="D2" s="42" t="inlineStr">
        <is>
          <t>봄 제철 식재료인 냉이를 활용해
집에서도 전문점처럼 깊은 국물 맛을 낼 수 있는
꽃게탕 조리법을 배우는 수업입니다.
손질된 절단 꽃게를 사용하여 비린내 없이
깔끔하고 시원한 국물을 만드는 핵심 포인트를 익히고,
된장과 고추장 베이스 육수의 균형 잡는 법을 배웁니다.
애호박, 두부, 대파, 청양고추 등을 더해
재료의 단맛과 감칠맛을 살리고
마지막에 냉이(또는 봄철 채소)를 넣어 향긋함을 완성합니다.
봄철 집밥 메뉴로 바로 활용할 수 있는
실전 요리 중심 클래스입니다.</t>
        </is>
      </c>
      <c r="E2" s="42" t="inlineStr">
        <is>
          <t>성인</t>
        </is>
      </c>
      <c r="F2" s="42" t="inlineStr">
        <is>
          <t>선발</t>
        </is>
      </c>
      <c r="G2" s="42" t="inlineStr">
        <is>
          <t>약 1시간 30분 (16:00~17:30)</t>
        </is>
      </c>
      <c r="H2" s="42" t="inlineStr">
        <is>
          <t>- 절단 손질 꽃게 1마리 (약 300g)
- 두부
- 애호박
- 청양고추
- 대파
- 냉이
- 꽃게탕 특제 양념장 (된장·고추장·고춧가루·맛술·마늘 배합)</t>
        </is>
      </c>
      <c r="I2" s="42" t="inlineStr">
        <is>
          <t>- 냄비 (중간 크기 이상)
- 국자, 계량컵(또는 종이컵)
- 도마, 칼, 키친타월, 비닐장갑, 앞치마
- 접시 (완성 후 담기용)</t>
        </is>
      </c>
      <c r="J2" s="42" t="inlineStr">
        <is>
          <t>스타필드 고양점 출강
이마트 컬처클럽(청계천/의정부/남양주/포천/양주/월계점) 출강
전) 현대백화점 천호점 출강
전) 현대스페이스원 더 테라스 출강</t>
        </is>
      </c>
      <c r="K2" s="42" t="n"/>
      <c r="L2" s="42" t="inlineStr">
        <is>
          <t>키트 배송 시 신선식품이 있어 새벽배송 가능 지역으로 발송됩니다. 선발 후 주소 기입 시 공동현관 비밀번호도 작성해 주시면 좋습니다.</t>
        </is>
      </c>
      <c r="M2" s="42" t="inlineStr">
        <is>
          <t>본 수업은 성인 대상 수업입니다.
재료는 신선 식재료이므로 수령 후 냉장 보관해 주세요.
냉이는 제철 수급 상황에 따라 봄 채소로 대체 제공될 수 있습니다.
[GSEEK 화상학습 참여]
로그인 &gt; 마이페이지 &gt; 화상학습현황 &gt; 학습중 &gt; 해당 강좌 확인 후 "입장" 버튼
학습 시작 2~3일 전 화상학습 참여방법을 문자로 안내드립니다.</t>
        </is>
      </c>
      <c r="N2" s="42" t="n"/>
      <c r="O2" s="42" t="n"/>
      <c r="P2" s="42" t="inlineStr">
        <is>
          <t>· 꽃게 300g — 1인 8,380원
· 두부 — 1인 2,280원
· 애호박 — 1인 1,256원
· 청양고추 — 1인 225원
· 대파 — 1인 102원
· 냉이 — 1인 1,606원
· 된장 — 1인 461원
· 고추장 — 1인 185원
· 고춧가루 — 1인 497원
· 맛술 — 1인 96원
· 마늘 — 1인 451원
합계(1인) 15,539원</t>
        </is>
      </c>
      <c r="Q2" s="42" t="n"/>
      <c r="R2" s="46" t="inlineStr">
        <is>
          <t>QDATA:eyJtb2RlIjogIm9ubGluZSIsICJ2YXQiOiAiaW5jbCIsICJ0aXRsZSI6ICLrg4nsnbQg6r2D6rKM7YOVIiwgIm9yZGVyZXIiOiAi6rK96riw64+E7KeA7IudIiwgInByaWNlIjogIjUwMDAwIiwgInBheCI6ICIzMSIsICJwYWNrIjogIjUwMDAiLCAic2hpcCI6ICI1MDAwIiwgInRlYWNoIjogIjEwMDAwIiwgImZlZVJhdGUiOiAiMjAiLCAicm93cyI6IFt7Imd1IjogIuq1rOyEse2SiCIsICJubSI6ICLqvYPqsowiLCAiYmEiOiAiMzAwZyIsICJsayI6ICIiLCAidjEiOiAiMzAwIiwgInUxIjogImciLCAicHYiOiAiMzAwIiwgInB1IjogImciLCAicG0iOiAiODM4MCIsICJvdSI6ICIzMSJ9LCB7Imd1IjogIuq1rOyEse2SiCIsICJubSI6ICLrkZDrtoAiLCAiYmEiOiAiMS8y66qoIiwgImxrIjogIiIsICJ2MSI6ICIxIiwgInUxIjogIuqwnCIsICJwdiI6ICIxIiwgInB1IjogIuqwnCIsICJwbSI6ICIyMjgwIiwgIm91IjogIjMxIn0sIHsiZ3UiOiAi6rWs7ISx7ZKIIiwgIm5tIjogIuyVoO2YuOuwlSIsICJiYSI6ICIxMDBnIiwgImxrIjogIiIsICJ2MSI6ICIxMDAiLCAidTEiOiAiZyIsICJwdiI6ICIzMDAiLCAicHUiOiAiZyIsICJwbSI6ICIzNTQwIiwgIm91IjogIjExIn0sIHsiZ3UiOiAi6rWs7ISx7ZKIIiwgIm5tIjogIuyyreyWkeqzoOy2lCIsICJiYSI6ICIx6rCcIiwgImxrIjogIiIsICJ2MSI6ICIxIiwgInUxIjogIuqwnCIsICJwdiI6ICIxMCIsICJwdSI6ICLqsJwiLCAicG0iOiAiMjMyMCIsICJvdSI6ICIzIn0sIHsiZ3UiOiAi6rWs7ISx7ZKIIiwgIm5tIjogIuuMgO2MjCIsICJiYSI6ICIzMGciLCAibGsiOiAiIiwgInYxIjogIjMwIiwgInUxIjogImciLCAicHYiOiAiMTAwMCIsICJwdSI6ICJnIiwgInBtIjogIjMxNjAiLCAib3UiOiAiMSJ9LCB7Imd1IjogIuq1rOyEse2SiCIsICJubSI6ICLrg4nsnbQiLCAiYmEiOiAiNTBnIiwgImxrIjogIiIsICJ2MSI6ICI1MCIsICJ1MSI6ICJnIiwgInB2IjogIjE1MCIsICJwdSI6ICJnIiwgInBtIjogIjQ5ODAiLCAib3UiOiAiMTAifSwgeyJndSI6ICLshozsiqQiLCAibm0iOiAi65Cc7J6lIiwgImJhIjogIjPtgbDsiKAiLCAibGsiOiAiIiwgInYxIjogIjYwIiwgInUxIjogImciLCAicHYiOiAiNTAwIiwgInB1IjogImciLCAicG0iOiAiMzU3MCIsICJvdSI6ICI0In0sIHsiZ3UiOiAi7IaM7IqkIiwgIm5tIjogIuqzoOy2lOyepSIsICJiYSI6ICIx7YGw7IigIiwgImxrIjogIiIsICJ2MSI6ICIyMCIsICJ1MSI6ICJnIiwgInB2IjogIjUwMCIsICJwdSI6ICJnIiwgInBtIjogIjM4MzAiLCAib3UiOiAiMS41In0sIHsiZ3UiOiAi7IaM7IqkIiwgIm5tIjogIuqzoOy2p+qwgOujqCIsICJiYSI6ICIx7YGw7IigIiwgImxrIjogIiIsICJ2MSI6ICI2IiwgInUxIjogImciLCAicHYiOiAiMjAwIiwgInB1IjogImciLCAicG0iOiAiMTU0MDAiLCAib3UiOiAiMSJ9LCB7Imd1IjogIuyGjOyKpCIsICJubSI6ICLrp5vsiKAiLCAiYmEiOiAiMe2BsOyIoCIsICJsayI6ICIiLCAidjEiOiAiMTUiLCAidTEiOiAiZyIsICJwdiI6ICI4MzAiLCAicHUiOiAibWwiLCAicG0iOiAiMjk4MCIsICJvdSI6ICIxIn0sIHsiZ3UiOiAi7IaM7IqkIiwgIm5tIjogIuuniOuKmCIsICJiYSI6ICIxLjXtgbDsiKAiLCAibGsiOiAiIiwgInYxIjogIjE2IiwgInUxIjogImciLCAicHYiOiAiNTUwIiwgInB1IjogImciLCAicG0iOiAiMTM5ODAiLCAib3UiOiAiMSJ9XSwgImNvbnRlbnQiOiB7ImNfdGl0bGUyIjogIuu0hO2Wpeq4sCDqsIDrk50sIOyLnOybkO2VmOqzoCDquYrsnYAg66eb7J2YICfrg4nsnbQg6r2D6rKM7YOVJyIsICJjX3RlYWNoZXIiOiAi6rmA7J2A7JiBIn19</t>
        </is>
      </c>
      <c r="S2" s="47" t="n"/>
    </row>
    <row r="3" ht="15" customHeight="1" s="24">
      <c r="A3" s="42" t="inlineStr">
        <is>
          <t>GS-2607</t>
        </is>
      </c>
      <c r="B3" s="42" t="inlineStr">
        <is>
          <t>제철 복숭아로 만드는 복숭아청과 브리치즈 샐러드</t>
        </is>
      </c>
      <c r="C3" s="42" t="inlineStr">
        <is>
          <t>복숭아청은 숙성하고, 복숭아조림은 샐러드로 바로 즐기는 7월 제철 과일 클래스</t>
        </is>
      </c>
      <c r="D3" s="42" t="inlineStr">
        <is>
          <t>1. 7월 제철 복숭아의 특징과 복숭아청·복숭아조림의 차이를 알아봅니다.
2. 유리병을 안전하게 소독하고, 복숭아청을 담그는 방법을 배웁니다.
3. 복숭아와 설탕을 활용해 숙성용 복숭아청을 완성합니다.
4. 복숭아를 시럽에 가볍게 조려 바로 활용 가능한 복숭아조림을 만듭니다.
5. 로메인, 와일드 루꼴라, 브리치즈, 드레싱을 활용해 복숭아 브리치즈 샐러드를 완성합니다.
[강의를 듣고 나면]
1. 제철 복숭아를 활용해 가정에서 복숭아청과 복숭아조림을 만들 수 있습니다.
2. 과일청과 과일조림의 차이를 이해하고, 각각의 보관법과 활용법을 익힐 수 있습니다.
3. 브리치즈와 제철 과일을 활용한 간단하면서도 근사한 샐러드를 완성할 수 있습니다.
4. 복숭아청을 숙성 후 음료, 디저트, 홈카페 메뉴로 응용할 수 있습니다.</t>
        </is>
      </c>
      <c r="E3" s="42" t="inlineStr">
        <is>
          <t>성인</t>
        </is>
      </c>
      <c r="F3" s="42" t="inlineStr">
        <is>
          <t>선발</t>
        </is>
      </c>
      <c r="G3" s="42" t="inlineStr">
        <is>
          <t>약 1시간 30분</t>
        </is>
      </c>
      <c r="H3" s="42" t="inlineStr">
        <is>
          <t>[수제청 만들기]
- 제철 복숭아
- 설탕
- 수제청용 유리병
[복숭아 조림 &amp; 브리치즈 샐러드]
- 복숭아 (조림용)
- 프렌치 미니 브리치즈
- 와일드 루꼴라, 로메인 등 신선 샐러드 채소
- 시그니처 드레싱, 보조 양념(레몬즙 등)
※ 본 키트는 제철 식재료로 구성되어 일부 품목이 시즌 및 산지 상황에 따라 동일·유사 등급의 상품으로 변동될 수 있습니다.</t>
        </is>
      </c>
      <c r="I3" s="42" t="inlineStr">
        <is>
          <t>- 냄비 (유리병 열탕 소독과 복숭아조림때)
- 도마, 칼, 계량컵 또는 종이컵
- 볼 1~2개 (복숭아손질), 주걱 또는 숟가락, 집게, 샐러드 접시
- 키친타월, 앞치마
- 가열 가능한 조리 환경 (가스레인지 또는 인덕션)</t>
        </is>
      </c>
      <c r="J3" s="42" t="inlineStr">
        <is>
          <t>이영미 전문가</t>
        </is>
      </c>
      <c r="K3" s="42" t="inlineStr">
        <is>
          <t>#복숭아수제청 #복숭아조림 #브리치즈샐러드 #여름디저트 #여름홈쿠킹</t>
        </is>
      </c>
      <c r="L3" s="42" t="inlineStr">
        <is>
          <t>키트 배송 시 신선식품이 있어 새벽배송 가능 지역으로 발송됩니다. 선발 후 주소 기입 시 공동현관 비밀번호도 작성해 주시면 좋습니다.</t>
        </is>
      </c>
      <c r="M3" s="42" t="inlineStr">
        <is>
          <t>본 수업은 성인 대상 수업입니다. (칼 사용, 유리병 소독, 가열 조리 포함)
재료는 신선 식재료이므로 수령 후 냉장 보관해 주세요.
[GSEEK 화상학습 참여]
로그인 &gt; 마이페이지 &gt; 화상학습현황 &gt; 학습중 &gt; 해당 강좌 확인 후 "입장" 버튼
학습 시작 2~3일 전 화상학습 참여방법을 문자로 안내드립니다.
[기타 안내]
복숭아는 수업 전 깨끗하게 세척해 준비해주세요.
유리병 소독 시 뜨거운 물을 사용하므로 화상에 주의해주세요.
복숭아청은 수업 당일 바로 먹는 메뉴가 아니라, 담근 뒤 숙성해 즐기는 결과물입니다.
복숭아청은 수업 후 하루 정도 실온에 두었다가 설탕이 녹으면 냉장 보관합니다.
복숭아조림은 수업 중 바로 완성해 브리치즈 샐러드에 활용합니다.
복숭아 또는 유제품 알레르기가 있는 경우 참여 전 확인이 필요합니다.</t>
        </is>
      </c>
      <c r="N3" s="42" t="n"/>
      <c r="O3" s="42" t="n"/>
      <c r="P3" s="42" t="inlineStr">
        <is>
          <t>[수제청] 천도복숭아·설탕·유리병500ml
[조림&amp;샐러드] 천도복숭아·로메인·와일드루꼴라·브리치즈
[소스] 식초·설탕·홀그레인머스타드·올리브오일·레몬즙
※ 양파다짐 별도(소량)
재료비 합계(1인) 10,041원 (엑셀 7/24 이영미 기준·검산완료)</t>
        </is>
      </c>
      <c r="Q3" s="42" t="n"/>
      <c r="R3" s="46" t="inlineStr">
        <is>
          <t>QDATA:eyJtb2RlIjogIm9ubGluZSIsICJ2YXQiOiAiaW5jbCIsICJtdHlwZSI6ICJBIiwgInRpdGxlIjogIuygnOyyoCDrs7XsiK3slYTroZwg66eM65Oc64qUIOuzteyIreyVhOyyreqzvCDruIzrpqzsuZjspogg7IOQ65+s65OcIiwgIm9yZGVyZXIiOiAi6rK96riw64+E7KeA7IudIiwgInByaWNlIjogIjUwMDAwIiwgInBheCI6ICIzMSIsICJwYWNrIjogIjUwMDAiLCAic2hpcCI6ICI1MDAwIiwgInRlYWNoIjogIjEwMDAwIiwgImZlZVJhdGUiOiAiMjAiLCAicm93cyI6IFt7Imd1IjogIuq1rOyEse2SiCIsICJubSI6ICLsspzrj4Trs7XsiK3slYQo7IiY7KCc7LKtKSIsICJiYSI6ICI1MDBnIiwgImxrIjogImh0dHBzOi8vd3d3LmNvdXBhbmcuY29tL3ZwL3Byb2R1Y3RzLzU4MTU2MDUxNTk/aXRlbUlkPTE5MjMzNDIzMTQwJnZlbmRvckl0ZW1JZD04NjM0OTg4NjA4NCIsICJ2MSI6ICI1MDAiLCAidTEiOiAiZyIsICJwdiI6ICI0MDAwIiwgInB1IjogImciLCAicG0iOiAiMjMxNjAiLCAib3UiOiAiNCJ9LCB7Imd1IjogIuq1rOyEse2SiCIsICJubSI6ICLshKTtg5Uo7IiY7KCc7LKtKSIsICJiYSI6ICIzMDBnIiwgImxrIjogImh0dHBzOi8vd3d3LmNvdXBhbmcuY29tL3ZwL3Byb2R1Y3RzLzk0OTg5NDg3ODk/aXRlbUlkPTI4Mjk3MjI4NTAxJnZlbmRvckl0ZW1JZD05NTI1MDA0MDcwOCIsICJ2MSI6ICIzMDAiLCAidTEiOiAiZyIsICJwdiI6ICIxMDAwIiwgInB1IjogImciLCAicG0iOiAiMzM2MCIsICJvdSI6ICIxMiJ9LCB7Imd1IjogIuq1rOyEse2SiCIsICJubSI6ICLsnKDrpqzrs5EgNTAwbWwiLCAiYmEiOiAiMeqwnCIsICJsayI6ICJodHRwczovL3d3dy5jb3VwYW5nLmNvbS92cC9wcm9kdWN0cy83NTc1MjkxMDIxP2l0ZW1JZD0yODA2ODQ1ODUxMiZ2ZW5kb3JJdGVtSWQ9OTUwMjUxMDAxMDAiLCAidjEiOiAiMSIsICJ1MSI6ICLqsJwiLCAicHYiOiAiMTUiLCAicHUiOiAi6rCcIiwgInBtIjogIjE0NzAwIiwgIm91IjogIjIifSwgeyJndSI6ICLqtazshLHtkogiLCAibm0iOiAi7LKc64+E67O17Iit7JWEKOyhsOumvCkiLCAiYmEiOiAiMTAwZyIsICJsayI6ICJodHRwczovL3d3dy5jb3VwYW5nLmNvbS92cC9wcm9kdWN0cy81ODE1NjA1MTU5P2l0ZW1JZD0xOTIzMzQyMzE0MCZ2ZW5kb3JJdGVtSWQ9ODYzNDk4ODYwODQiLCAidjEiOiAiMTAwIiwgInUxIjogImciLCAicHYiOiAiNDAwMCIsICJwdSI6ICJnIiwgInBtIjogIjIzMTYwIiwgIm91IjogIjEifSwgeyJndSI6ICLqtazshLHtkogiLCAibm0iOiAi66Gc66mU7J24IiwgImJhIjogIjPsno4oNTBnKSIsICJsayI6ICJodHRwczovL3d3dy5jb3VwYW5nLmNvbS92cC9wcm9kdWN0cy82Nzg5NjE3NDI4P2l0ZW1JZD0xNTk5MzMwNzM0OCZ2ZW5kb3JJdGVtSWQ9ODMxOTg3MDQ4MDAiLCAidjEiOiAiNTAiLCAidTEiOiAiZyIsICJwdiI6ICIyMDAiLCAicHUiOiAiZyIsICJwbSI6ICIzNDgwIiwgIm91IjogIjgifSwgeyJndSI6ICLqtazshLHtkogiLCAibm0iOiAi7JmA7J2865OcIOujqOq8tOudvCIsICJiYSI6ICIzMGciLCAibGsiOiAiaHR0cHM6Ly93d3cuY291cGFuZy5jb20vdnAvcHJvZHVjdHMvNjMwODU5Nzg4Mj9pdGVtSWQ9MjQ1MTU2MjM4NjgmdmVuZG9ySXRlbUlkPTkxNTI4NDYzOTU5IiwgInYxIjogIjMwIiwgInUxIjogImciLCAicHYiOiAiMTAwIiwgInB1IjogImciLCAicG0iOiAiMzIyMCIsICJvdSI6ICIxMCJ9LCB7Imd1IjogIuq1rOyEse2SiCIsICJubSI6ICLruIzrpqzsuZjspogiLCAiYmEiOiAiMjVnIiwgImxrIjogImh0dHBzOi8vd3d3LmNvdXBhbmcuY29tL3ZwL3Byb2R1Y3RzLzYzNjgyMDU3NzI/aXRlbUlkPTI0MzUzMjI4NzY4JnZlbmRvckl0ZW1JZD05MTMzODM5NTM4NyIsICJ2MSI6ICIyNSIsICJ1MSI6ICJnIiwgInB2IjogIjUwMCIsICJwdSI6ICJnIiwgInBtIjogIjMyNzUwIiwgIm91IjogIjIifSwgeyJndSI6ICLshozsiqQiLCAibm0iOiAi7Iud7LSIIiwgImJhIjogIjFUIiwgImxrIjogImh0dHBzOi8vd3d3LmNvdXBhbmcuY29tL3ZwL3Byb2R1Y3RzLzcwMzgzNzQ2MjY/aXRlbUlkPTE3Mzk3NTIyNjU0JnZlbmRvckl0ZW1JZD04NDU2Njk4MDgyOSIsICJ2MSI6ICIxNSIsICJ1MSI6ICJnIiwgInB2IjogIjkwMCIsICJwdSI6ICJtbCIsICJwbSI6ICIzMjgwIiwgIm91IjogIjEifSwgeyJndSI6ICLshozsiqQiLCAibm0iOiAi7ISk7YOVKOyGjOyKpCkiLCAiYmEiOiAiMVQiLCAibGsiOiAiaHR0cHM6Ly93d3cuY291cGFuZy5jb20vdnAvcHJvZHVjdHMvOTQ5ODk0ODc4OT9pdGVtSWQ9MjgyOTcyMjg1MDEmdmVuZG9ySXRlbUlkPTk1MjUwMDQwNzA4IiwgInYxIjogIjEzIiwgInUxIjogImciLCAicHYiOiAiNDAwIiwgInB1IjogImciLCAicG0iOiAiMTY4MCIsICJvdSI6ICI0In0sIHsiZ3UiOiAi7IaM7IqkIiwgIm5tIjogIu2ZgOq3uOugiOyduOuouOyKpO2DgOuTnCIsICJiYSI6ICIxLzJUIiwgImxrIjogImh0dHBzOi8vd3d3LmNvdXBhbmcuY29tL3ZwL3Byb2R1Y3RzLzY2NTkxODU4NjU/aXRlbUlkPTE1MjgxNTAyMTI5JnZlbmRvckl0ZW1JZD04MjUwMTk5MzIyMyIsICJ2MSI6ICI4IiwgInUxIjogImciLCAicHYiOiAiMjEwIiwgInB1IjogImciLCAicG0iOiAiNTc3MCIsICJvdSI6ICIxIn0sIHsiZ3UiOiAi7IaM7IqkIiwgIm5tIjogIuyYrOumrOu4jOyYpOydvCIsICJiYSI6ICIzVCIsICJsayI6ICJodHRwczovL3d3dy5jb3VwYW5nLmNvbS92cC9wcm9kdWN0cy82MjQ1OTM2Mz9pdGVtSWQ9MTMxMDU1NDIwNjUmdmVuZG9ySXRlbUlkPTkyMjIwMDA5NzcyIiwgInYxIjogIjQxIiwgInUxIjogImciLCAicHYiOiAiMTAwMCIsICJwdSI6ICJtbCIsICJwbSI6ICIxNzEwMCIsICJvdSI6ICIxIn0sIHsiZ3UiOiAi7IaM7IqkIiwgIm5tIjogIuugiOuqrOymmSIsICJiYSI6ICIxLzJUIiwgImxrIjogImh0dHBzOi8vd3d3LmNvdXBhbmcuY29tL3ZwL3Byb2R1Y3RzLzUzNzkxNjQ2MzM/aXRlbUlkPTE5MDM2NjU2MDEwJnZlbmRvckl0ZW1JZD05MzExODM1NjMyOCIsICJ2MSI6ICI4IiwgInUxIjogImciLCAicHYiOiAiMTAwMCIsICJwdSI6ICJnIiwgInBtIjogIjk0MTAiLCAib3UiOiAiMSJ9LCB7Imd1IjogIiIsICJubSI6ICLshKTtg5Uo7KGw66a8KSIsICJiYSI6ICLsv6DtjKEiLCAibGsiOiAiIiwgInYxIjogIjEwMCIsICJ1MSI6ICJnIiwgInB2IjogIjEwMDAiLCAicHUiOiAiZyIsICJwbSI6ICIzMzYwIiwgIm91IjogIjQifSwgeyJndSI6ICIiLCAibm0iOiAi66CI66qs7KaZKOyhsOumvCkiLCAiYmEiOiAi7L+g7YyhIiwgImxrIjogIiIsICJ2MSI6ICIzMCIsICJ1MSI6ICJnIiwgInB2IjogIjEwMDAiLCAicHUiOiAiZyIsICJwbSI6ICI2OTgwIiwgIm91IjogIjEifV0sICJjb250ZW50IjogeyJjX3RpdGxlMiI6ICLsoJzssqAg67O17Iit7JWE66GcIOunjOuTnOuKlCDrs7XsiK3slYTssq3qs7wg67iM66as7LmY7KaIIOyDkOufrOuTnCIsICJjX3RlYWNoZXIiOiAi7J207JiB66+4In19</t>
        </is>
      </c>
      <c r="S3" s="47" t="n"/>
    </row>
    <row r="4" ht="15" customHeight="1" s="24">
      <c r="A4" s="42" t="n"/>
      <c r="B4" s="42" t="n"/>
      <c r="C4" s="42" t="n"/>
      <c r="D4" s="42" t="n"/>
      <c r="E4" s="42" t="n"/>
      <c r="F4" s="42" t="n"/>
      <c r="G4" s="42" t="n"/>
      <c r="H4" s="42" t="n"/>
      <c r="I4" s="42" t="n"/>
      <c r="J4" s="42" t="n"/>
      <c r="K4" s="42" t="n"/>
      <c r="L4" s="42" t="n"/>
      <c r="M4" s="42" t="n"/>
      <c r="N4" s="42" t="n"/>
      <c r="O4" s="42" t="n"/>
      <c r="P4" s="42" t="n"/>
      <c r="Q4" s="42" t="n"/>
      <c r="R4" s="46" t="n"/>
      <c r="S4" s="47" t="n"/>
    </row>
    <row r="5" ht="15" customHeight="1" s="24">
      <c r="A5" s="42" t="n"/>
      <c r="B5" s="42" t="n"/>
      <c r="C5" s="42" t="n"/>
      <c r="D5" s="42" t="n"/>
      <c r="E5" s="42" t="n"/>
      <c r="F5" s="42" t="n"/>
      <c r="G5" s="42" t="n"/>
      <c r="H5" s="42" t="n"/>
      <c r="I5" s="42" t="n"/>
      <c r="J5" s="42" t="n"/>
      <c r="K5" s="42" t="n"/>
      <c r="L5" s="42" t="n"/>
      <c r="M5" s="42" t="n"/>
      <c r="N5" s="42" t="n"/>
      <c r="O5" s="42" t="n"/>
      <c r="P5" s="42" t="n"/>
      <c r="Q5" s="42" t="n"/>
      <c r="R5" s="46" t="n"/>
      <c r="S5" s="47" t="n"/>
    </row>
    <row r="6" ht="15" customHeight="1" s="24">
      <c r="A6" s="42" t="n"/>
      <c r="B6" s="42" t="n"/>
      <c r="C6" s="42" t="n"/>
      <c r="D6" s="42" t="n"/>
      <c r="E6" s="42" t="n"/>
      <c r="F6" s="42" t="n"/>
      <c r="G6" s="42" t="n"/>
      <c r="H6" s="42" t="n"/>
      <c r="I6" s="42" t="n"/>
      <c r="J6" s="42" t="n"/>
      <c r="K6" s="42" t="n"/>
      <c r="L6" s="42" t="n"/>
      <c r="M6" s="42" t="n"/>
      <c r="N6" s="42" t="n"/>
      <c r="O6" s="42" t="n"/>
      <c r="P6" s="42" t="n"/>
      <c r="Q6" s="42" t="n"/>
      <c r="R6" s="46" t="n"/>
      <c r="S6" s="47" t="n"/>
    </row>
    <row r="7" ht="15" customHeight="1" s="24">
      <c r="A7" s="42" t="n"/>
      <c r="B7" s="42" t="n"/>
      <c r="C7" s="42" t="n"/>
      <c r="D7" s="42" t="n"/>
      <c r="E7" s="42" t="n"/>
      <c r="F7" s="42" t="n"/>
      <c r="G7" s="42" t="n"/>
      <c r="H7" s="42" t="n"/>
      <c r="I7" s="42" t="n"/>
      <c r="J7" s="42" t="n"/>
      <c r="K7" s="42" t="n"/>
      <c r="L7" s="42" t="n"/>
      <c r="M7" s="42" t="n"/>
      <c r="N7" s="42" t="n"/>
      <c r="O7" s="42" t="n"/>
      <c r="P7" s="42" t="n"/>
      <c r="Q7" s="42" t="n"/>
      <c r="R7" s="46" t="n"/>
      <c r="S7" s="47" t="n"/>
    </row>
    <row r="8" ht="15" customHeight="1" s="24">
      <c r="A8" s="42" t="n"/>
      <c r="B8" s="42" t="n"/>
      <c r="C8" s="42" t="n"/>
      <c r="D8" s="42" t="n"/>
      <c r="E8" s="42" t="n"/>
      <c r="F8" s="42" t="n"/>
      <c r="G8" s="42" t="n"/>
      <c r="H8" s="42" t="n"/>
      <c r="I8" s="42" t="n"/>
      <c r="J8" s="42" t="n"/>
      <c r="K8" s="42" t="n"/>
      <c r="L8" s="42" t="n"/>
      <c r="M8" s="42" t="n"/>
      <c r="N8" s="42" t="n"/>
      <c r="O8" s="42" t="n"/>
      <c r="P8" s="42" t="n"/>
      <c r="Q8" s="42" t="n"/>
      <c r="R8" s="46" t="n"/>
      <c r="S8" s="47" t="n"/>
    </row>
    <row r="9" ht="15" customHeight="1" s="24">
      <c r="A9" s="42" t="n"/>
      <c r="B9" s="42" t="n"/>
      <c r="C9" s="42" t="n"/>
      <c r="D9" s="42" t="n"/>
      <c r="E9" s="42" t="n"/>
      <c r="F9" s="42" t="n"/>
      <c r="G9" s="42" t="n"/>
      <c r="H9" s="42" t="n"/>
      <c r="I9" s="42" t="n"/>
      <c r="J9" s="42" t="n"/>
      <c r="K9" s="42" t="n"/>
      <c r="L9" s="42" t="n"/>
      <c r="M9" s="42" t="n"/>
      <c r="N9" s="42" t="n"/>
      <c r="O9" s="42" t="n"/>
      <c r="P9" s="42" t="n"/>
      <c r="Q9" s="42" t="n"/>
      <c r="R9" s="46" t="n"/>
      <c r="S9" s="47" t="n"/>
    </row>
    <row r="10" ht="15" customHeight="1" s="24">
      <c r="A10" s="42" t="n"/>
      <c r="B10" s="42" t="n"/>
      <c r="C10" s="42" t="n"/>
      <c r="D10" s="42" t="n"/>
      <c r="E10" s="42" t="n"/>
      <c r="F10" s="42" t="n"/>
      <c r="G10" s="42" t="n"/>
      <c r="H10" s="42" t="n"/>
      <c r="I10" s="42" t="n"/>
      <c r="J10" s="42" t="n"/>
      <c r="K10" s="42" t="n"/>
      <c r="L10" s="42" t="n"/>
      <c r="M10" s="42" t="n"/>
      <c r="N10" s="42" t="n"/>
      <c r="O10" s="42" t="n"/>
      <c r="P10" s="42" t="n"/>
      <c r="Q10" s="42" t="n"/>
      <c r="R10" s="46" t="n"/>
      <c r="S10" s="47" t="n"/>
    </row>
    <row r="11" ht="15" customHeight="1" s="24">
      <c r="A11" s="42" t="n"/>
      <c r="B11" s="42" t="n"/>
      <c r="C11" s="42" t="n"/>
      <c r="D11" s="42" t="n"/>
      <c r="E11" s="42" t="n"/>
      <c r="F11" s="42" t="n"/>
      <c r="G11" s="42" t="n"/>
      <c r="H11" s="42" t="n"/>
      <c r="I11" s="42" t="n"/>
      <c r="J11" s="42" t="n"/>
      <c r="K11" s="42" t="n"/>
      <c r="L11" s="42" t="n"/>
      <c r="M11" s="42" t="n"/>
      <c r="N11" s="42" t="n"/>
      <c r="O11" s="42" t="n"/>
      <c r="P11" s="42" t="n"/>
      <c r="Q11" s="42" t="n"/>
      <c r="R11" s="46" t="n"/>
      <c r="S11" s="47" t="n"/>
    </row>
    <row r="12" ht="15" customHeight="1" s="24">
      <c r="A12" s="42" t="n"/>
      <c r="B12" s="42" t="n"/>
      <c r="C12" s="42" t="n"/>
      <c r="D12" s="42" t="n"/>
      <c r="E12" s="42" t="n"/>
      <c r="F12" s="42" t="n"/>
      <c r="G12" s="42" t="n"/>
      <c r="H12" s="42" t="n"/>
      <c r="I12" s="42" t="n"/>
      <c r="J12" s="42" t="n"/>
      <c r="K12" s="42" t="n"/>
      <c r="L12" s="42" t="n"/>
      <c r="M12" s="42" t="n"/>
      <c r="N12" s="42" t="n"/>
      <c r="O12" s="42" t="n"/>
      <c r="P12" s="42" t="n"/>
      <c r="Q12" s="42" t="n"/>
      <c r="R12" s="46" t="n"/>
      <c r="S12" s="47" t="n"/>
    </row>
    <row r="13" ht="15" customHeight="1" s="24">
      <c r="A13" s="42" t="n"/>
      <c r="B13" s="42" t="n"/>
      <c r="C13" s="42" t="n"/>
      <c r="D13" s="42" t="n"/>
      <c r="E13" s="42" t="n"/>
      <c r="F13" s="42" t="n"/>
      <c r="G13" s="42" t="n"/>
      <c r="H13" s="42" t="n"/>
      <c r="I13" s="42" t="n"/>
      <c r="J13" s="42" t="n"/>
      <c r="K13" s="42" t="n"/>
      <c r="L13" s="42" t="n"/>
      <c r="M13" s="42" t="n"/>
      <c r="N13" s="42" t="n"/>
      <c r="O13" s="42" t="n"/>
      <c r="P13" s="42" t="n"/>
      <c r="Q13" s="42" t="n"/>
      <c r="R13" s="46" t="n"/>
      <c r="S13" s="47" t="n"/>
    </row>
    <row r="14" ht="15" customHeight="1" s="24">
      <c r="A14" s="42" t="n"/>
      <c r="B14" s="42" t="n"/>
      <c r="C14" s="42" t="n"/>
      <c r="D14" s="42" t="n"/>
      <c r="E14" s="42" t="n"/>
      <c r="F14" s="42" t="n"/>
      <c r="G14" s="42" t="n"/>
      <c r="H14" s="42" t="n"/>
      <c r="I14" s="42" t="n"/>
      <c r="J14" s="42" t="n"/>
      <c r="K14" s="42" t="n"/>
      <c r="L14" s="42" t="n"/>
      <c r="M14" s="42" t="n"/>
      <c r="N14" s="42" t="n"/>
      <c r="O14" s="42" t="n"/>
      <c r="P14" s="42" t="n"/>
      <c r="Q14" s="42" t="n"/>
      <c r="R14" s="46" t="n"/>
      <c r="S14" s="47" t="n"/>
    </row>
    <row r="15" ht="15" customHeight="1" s="24">
      <c r="A15" s="42" t="n"/>
      <c r="B15" s="42" t="n"/>
      <c r="C15" s="42" t="n"/>
      <c r="D15" s="42" t="n"/>
      <c r="E15" s="42" t="n"/>
      <c r="F15" s="42" t="n"/>
      <c r="G15" s="42" t="n"/>
      <c r="H15" s="42" t="n"/>
      <c r="I15" s="42" t="n"/>
      <c r="J15" s="42" t="n"/>
      <c r="K15" s="42" t="n"/>
      <c r="L15" s="42" t="n"/>
      <c r="M15" s="42" t="n"/>
      <c r="N15" s="42" t="n"/>
      <c r="O15" s="42" t="n"/>
      <c r="P15" s="42" t="n"/>
      <c r="Q15" s="42" t="n"/>
      <c r="R15" s="46" t="n"/>
      <c r="S15" s="47" t="n"/>
    </row>
    <row r="16" ht="15" customHeight="1" s="24">
      <c r="A16" s="42" t="n"/>
      <c r="B16" s="42" t="n"/>
      <c r="C16" s="42" t="n"/>
      <c r="D16" s="42" t="n"/>
      <c r="E16" s="42" t="n"/>
      <c r="F16" s="42" t="n"/>
      <c r="G16" s="42" t="n"/>
      <c r="H16" s="42" t="n"/>
      <c r="I16" s="42" t="n"/>
      <c r="J16" s="42" t="n"/>
      <c r="K16" s="42" t="n"/>
      <c r="L16" s="42" t="n"/>
      <c r="M16" s="42" t="n"/>
      <c r="N16" s="42" t="n"/>
      <c r="O16" s="42" t="n"/>
      <c r="P16" s="42" t="n"/>
      <c r="Q16" s="42" t="n"/>
      <c r="R16" s="46" t="n"/>
      <c r="S16" s="47" t="n"/>
    </row>
    <row r="17" ht="15" customHeight="1" s="24">
      <c r="A17" s="42" t="n"/>
      <c r="B17" s="42" t="n"/>
      <c r="C17" s="42" t="n"/>
      <c r="D17" s="42" t="n"/>
      <c r="E17" s="42" t="n"/>
      <c r="F17" s="42" t="n"/>
      <c r="G17" s="42" t="n"/>
      <c r="H17" s="42" t="n"/>
      <c r="I17" s="42" t="n"/>
      <c r="J17" s="42" t="n"/>
      <c r="K17" s="42" t="n"/>
      <c r="L17" s="42" t="n"/>
      <c r="M17" s="42" t="n"/>
      <c r="N17" s="42" t="n"/>
      <c r="O17" s="42" t="n"/>
      <c r="P17" s="42" t="n"/>
      <c r="Q17" s="42" t="n"/>
      <c r="R17" s="46" t="n"/>
      <c r="S17" s="47" t="n"/>
    </row>
    <row r="18" ht="15" customHeight="1" s="24">
      <c r="A18" s="42" t="n"/>
      <c r="B18" s="42" t="n"/>
      <c r="C18" s="42" t="n"/>
      <c r="D18" s="42" t="n"/>
      <c r="E18" s="42" t="n"/>
      <c r="F18" s="42" t="n"/>
      <c r="G18" s="42" t="n"/>
      <c r="H18" s="42" t="n"/>
      <c r="I18" s="42" t="n"/>
      <c r="J18" s="42" t="n"/>
      <c r="K18" s="42" t="n"/>
      <c r="L18" s="42" t="n"/>
      <c r="M18" s="42" t="n"/>
      <c r="N18" s="42" t="n"/>
      <c r="O18" s="42" t="n"/>
      <c r="P18" s="42" t="n"/>
      <c r="Q18" s="42" t="n"/>
      <c r="R18" s="46" t="n"/>
      <c r="S18" s="47" t="n"/>
    </row>
    <row r="19" ht="15" customHeight="1" s="24">
      <c r="A19" s="42" t="n"/>
      <c r="B19" s="42" t="n"/>
      <c r="C19" s="42" t="n"/>
      <c r="D19" s="42" t="n"/>
      <c r="E19" s="42" t="n"/>
      <c r="F19" s="42" t="n"/>
      <c r="G19" s="42" t="n"/>
      <c r="H19" s="42" t="n"/>
      <c r="I19" s="42" t="n"/>
      <c r="J19" s="42" t="n"/>
      <c r="K19" s="42" t="n"/>
      <c r="L19" s="42" t="n"/>
      <c r="M19" s="42" t="n"/>
      <c r="N19" s="42" t="n"/>
      <c r="O19" s="42" t="n"/>
      <c r="P19" s="42" t="n"/>
      <c r="Q19" s="42" t="n"/>
      <c r="R19" s="46" t="n"/>
      <c r="S19" s="47" t="n"/>
    </row>
    <row r="20" ht="15" customHeight="1" s="24">
      <c r="A20" s="42" t="n"/>
      <c r="B20" s="42" t="n"/>
      <c r="C20" s="42" t="n"/>
      <c r="D20" s="42" t="n"/>
      <c r="E20" s="42" t="n"/>
      <c r="F20" s="42" t="n"/>
      <c r="G20" s="42" t="n"/>
      <c r="H20" s="42" t="n"/>
      <c r="I20" s="42" t="n"/>
      <c r="J20" s="42" t="n"/>
      <c r="K20" s="42" t="n"/>
      <c r="L20" s="42" t="n"/>
      <c r="M20" s="42" t="n"/>
      <c r="N20" s="42" t="n"/>
      <c r="O20" s="42" t="n"/>
      <c r="P20" s="42" t="n"/>
      <c r="Q20" s="42" t="n"/>
      <c r="R20" s="46" t="n"/>
      <c r="S20" s="47" t="n"/>
    </row>
    <row r="21" ht="15" customHeight="1" s="24">
      <c r="A21" s="42" t="n"/>
      <c r="B21" s="42" t="n"/>
      <c r="C21" s="42" t="n"/>
      <c r="D21" s="42" t="n"/>
      <c r="E21" s="42" t="n"/>
      <c r="F21" s="42" t="n"/>
      <c r="G21" s="42" t="n"/>
      <c r="H21" s="42" t="n"/>
      <c r="I21" s="42" t="n"/>
      <c r="J21" s="42" t="n"/>
      <c r="K21" s="42" t="n"/>
      <c r="L21" s="42" t="n"/>
      <c r="M21" s="42" t="n"/>
      <c r="N21" s="42" t="n"/>
      <c r="O21" s="42" t="n"/>
      <c r="P21" s="42" t="n"/>
      <c r="Q21" s="42" t="n"/>
      <c r="R21" s="46" t="n"/>
      <c r="S21" s="47" t="n"/>
    </row>
    <row r="22" ht="15" customHeight="1" s="24">
      <c r="A22" s="42" t="n"/>
      <c r="B22" s="42" t="n"/>
      <c r="C22" s="42" t="n"/>
      <c r="D22" s="42" t="n"/>
      <c r="E22" s="42" t="n"/>
      <c r="F22" s="42" t="n"/>
      <c r="G22" s="42" t="n"/>
      <c r="H22" s="42" t="n"/>
      <c r="I22" s="42" t="n"/>
      <c r="J22" s="42" t="n"/>
      <c r="K22" s="42" t="n"/>
      <c r="L22" s="42" t="n"/>
      <c r="M22" s="42" t="n"/>
      <c r="N22" s="42" t="n"/>
      <c r="O22" s="42" t="n"/>
      <c r="P22" s="42" t="n"/>
      <c r="Q22" s="42" t="n"/>
      <c r="R22" s="46" t="n"/>
      <c r="S22" s="47" t="n"/>
    </row>
    <row r="23" ht="15" customHeight="1" s="24">
      <c r="A23" s="42" t="n"/>
      <c r="B23" s="42" t="n"/>
      <c r="C23" s="42" t="n"/>
      <c r="D23" s="42" t="n"/>
      <c r="E23" s="42" t="n"/>
      <c r="F23" s="42" t="n"/>
      <c r="G23" s="42" t="n"/>
      <c r="H23" s="42" t="n"/>
      <c r="I23" s="42" t="n"/>
      <c r="J23" s="42" t="n"/>
      <c r="K23" s="42" t="n"/>
      <c r="L23" s="42" t="n"/>
      <c r="M23" s="42" t="n"/>
      <c r="N23" s="42" t="n"/>
      <c r="O23" s="42" t="n"/>
      <c r="P23" s="42" t="n"/>
      <c r="Q23" s="42" t="n"/>
      <c r="R23" s="46" t="n"/>
      <c r="S23" s="47" t="n"/>
    </row>
    <row r="24" ht="15" customHeight="1" s="24">
      <c r="A24" s="42" t="n"/>
      <c r="B24" s="42" t="n"/>
      <c r="C24" s="42" t="n"/>
      <c r="D24" s="42" t="n"/>
      <c r="E24" s="42" t="n"/>
      <c r="F24" s="42" t="n"/>
      <c r="G24" s="42" t="n"/>
      <c r="H24" s="42" t="n"/>
      <c r="I24" s="42" t="n"/>
      <c r="J24" s="42" t="n"/>
      <c r="K24" s="42" t="n"/>
      <c r="L24" s="42" t="n"/>
      <c r="M24" s="42" t="n"/>
      <c r="N24" s="42" t="n"/>
      <c r="O24" s="42" t="n"/>
      <c r="P24" s="42" t="n"/>
      <c r="Q24" s="42" t="n"/>
      <c r="R24" s="46" t="n"/>
      <c r="S24" s="47" t="n"/>
    </row>
    <row r="25" ht="15" customHeight="1" s="24">
      <c r="A25" s="42" t="n"/>
      <c r="B25" s="42" t="n"/>
      <c r="C25" s="42" t="n"/>
      <c r="D25" s="42" t="n"/>
      <c r="E25" s="42" t="n"/>
      <c r="F25" s="42" t="n"/>
      <c r="G25" s="42" t="n"/>
      <c r="H25" s="42" t="n"/>
      <c r="I25" s="42" t="n"/>
      <c r="J25" s="42" t="n"/>
      <c r="K25" s="42" t="n"/>
      <c r="L25" s="42" t="n"/>
      <c r="M25" s="42" t="n"/>
      <c r="N25" s="42" t="n"/>
      <c r="O25" s="42" t="n"/>
      <c r="P25" s="42" t="n"/>
      <c r="Q25" s="42" t="n"/>
      <c r="R25" s="46" t="n"/>
      <c r="S25" s="47" t="n"/>
    </row>
    <row r="26" ht="15" customHeight="1" s="24">
      <c r="A26" s="42" t="n"/>
      <c r="B26" s="42" t="n"/>
      <c r="C26" s="42" t="n"/>
      <c r="D26" s="42" t="n"/>
      <c r="E26" s="42" t="n"/>
      <c r="F26" s="42" t="n"/>
      <c r="G26" s="42" t="n"/>
      <c r="H26" s="42" t="n"/>
      <c r="I26" s="42" t="n"/>
      <c r="J26" s="42" t="n"/>
      <c r="K26" s="42" t="n"/>
      <c r="L26" s="42" t="n"/>
      <c r="M26" s="42" t="n"/>
      <c r="N26" s="42" t="n"/>
      <c r="O26" s="42" t="n"/>
      <c r="P26" s="42" t="n"/>
      <c r="Q26" s="42" t="n"/>
      <c r="R26" s="46" t="n"/>
      <c r="S26" s="47" t="n"/>
    </row>
    <row r="27" ht="15" customHeight="1" s="24">
      <c r="A27" s="42" t="n"/>
      <c r="B27" s="42" t="n"/>
      <c r="C27" s="42" t="n"/>
      <c r="D27" s="42" t="n"/>
      <c r="E27" s="42" t="n"/>
      <c r="F27" s="42" t="n"/>
      <c r="G27" s="42" t="n"/>
      <c r="H27" s="42" t="n"/>
      <c r="I27" s="42" t="n"/>
      <c r="J27" s="42" t="n"/>
      <c r="K27" s="42" t="n"/>
      <c r="L27" s="42" t="n"/>
      <c r="M27" s="42" t="n"/>
      <c r="N27" s="42" t="n"/>
      <c r="O27" s="42" t="n"/>
      <c r="P27" s="42" t="n"/>
      <c r="Q27" s="42" t="n"/>
      <c r="R27" s="46" t="n"/>
      <c r="S27" s="47" t="n"/>
    </row>
    <row r="28" ht="15" customHeight="1" s="24">
      <c r="A28" s="42" t="n"/>
      <c r="B28" s="42" t="n"/>
      <c r="C28" s="42" t="n"/>
      <c r="D28" s="42" t="n"/>
      <c r="E28" s="42" t="n"/>
      <c r="F28" s="42" t="n"/>
      <c r="G28" s="42" t="n"/>
      <c r="H28" s="42" t="n"/>
      <c r="I28" s="42" t="n"/>
      <c r="J28" s="42" t="n"/>
      <c r="K28" s="42" t="n"/>
      <c r="L28" s="42" t="n"/>
      <c r="M28" s="42" t="n"/>
      <c r="N28" s="42" t="n"/>
      <c r="O28" s="42" t="n"/>
      <c r="P28" s="42" t="n"/>
      <c r="Q28" s="42" t="n"/>
      <c r="R28" s="46" t="n"/>
      <c r="S28" s="47" t="n"/>
    </row>
    <row r="29" ht="15" customHeight="1" s="24">
      <c r="A29" s="42" t="n"/>
      <c r="B29" s="42" t="n"/>
      <c r="C29" s="42" t="n"/>
      <c r="D29" s="42" t="n"/>
      <c r="E29" s="42" t="n"/>
      <c r="F29" s="42" t="n"/>
      <c r="G29" s="42" t="n"/>
      <c r="H29" s="42" t="n"/>
      <c r="I29" s="42" t="n"/>
      <c r="J29" s="42" t="n"/>
      <c r="K29" s="42" t="n"/>
      <c r="L29" s="42" t="n"/>
      <c r="M29" s="42" t="n"/>
      <c r="N29" s="42" t="n"/>
      <c r="O29" s="42" t="n"/>
      <c r="P29" s="42" t="n"/>
      <c r="Q29" s="42" t="n"/>
      <c r="R29" s="46" t="n"/>
      <c r="S29" s="47" t="n"/>
    </row>
    <row r="30" ht="15" customHeight="1" s="24">
      <c r="A30" s="42" t="n"/>
      <c r="B30" s="42" t="n"/>
      <c r="C30" s="42" t="n"/>
      <c r="D30" s="42" t="n"/>
      <c r="E30" s="42" t="n"/>
      <c r="F30" s="42" t="n"/>
      <c r="G30" s="42" t="n"/>
      <c r="H30" s="42" t="n"/>
      <c r="I30" s="42" t="n"/>
      <c r="J30" s="42" t="n"/>
      <c r="K30" s="42" t="n"/>
      <c r="L30" s="42" t="n"/>
      <c r="M30" s="42" t="n"/>
      <c r="N30" s="42" t="n"/>
      <c r="O30" s="42" t="n"/>
      <c r="P30" s="42" t="n"/>
      <c r="Q30" s="42" t="n"/>
      <c r="R30" s="46" t="n"/>
      <c r="S30" s="47" t="n"/>
    </row>
    <row r="31" ht="15" customHeight="1" s="24">
      <c r="A31" s="42" t="n"/>
      <c r="B31" s="42" t="n"/>
      <c r="C31" s="42" t="n"/>
      <c r="D31" s="42" t="n"/>
      <c r="E31" s="42" t="n"/>
      <c r="F31" s="42" t="n"/>
      <c r="G31" s="42" t="n"/>
      <c r="H31" s="42" t="n"/>
      <c r="I31" s="42" t="n"/>
      <c r="J31" s="42" t="n"/>
      <c r="K31" s="42" t="n"/>
      <c r="L31" s="42" t="n"/>
      <c r="M31" s="42" t="n"/>
      <c r="N31" s="42" t="n"/>
      <c r="O31" s="42" t="n"/>
      <c r="P31" s="42" t="n"/>
      <c r="Q31" s="42" t="n"/>
      <c r="R31" s="46" t="n"/>
      <c r="S31" s="47" t="n"/>
    </row>
    <row r="32" ht="15" customHeight="1" s="24">
      <c r="A32" s="42" t="n"/>
      <c r="B32" s="42" t="n"/>
      <c r="C32" s="42" t="n"/>
      <c r="D32" s="42" t="n"/>
      <c r="E32" s="42" t="n"/>
      <c r="F32" s="42" t="n"/>
      <c r="G32" s="42" t="n"/>
      <c r="H32" s="42" t="n"/>
      <c r="I32" s="42" t="n"/>
      <c r="J32" s="42" t="n"/>
      <c r="K32" s="42" t="n"/>
      <c r="L32" s="42" t="n"/>
      <c r="M32" s="42" t="n"/>
      <c r="N32" s="42" t="n"/>
      <c r="O32" s="42" t="n"/>
      <c r="P32" s="42" t="n"/>
      <c r="Q32" s="42" t="n"/>
      <c r="R32" s="46" t="n"/>
      <c r="S32" s="47" t="n"/>
    </row>
    <row r="33" ht="15" customHeight="1" s="24">
      <c r="A33" s="42" t="n"/>
      <c r="B33" s="42" t="n"/>
      <c r="C33" s="42" t="n"/>
      <c r="D33" s="42" t="n"/>
      <c r="E33" s="42" t="n"/>
      <c r="F33" s="42" t="n"/>
      <c r="G33" s="42" t="n"/>
      <c r="H33" s="42" t="n"/>
      <c r="I33" s="42" t="n"/>
      <c r="J33" s="42" t="n"/>
      <c r="K33" s="42" t="n"/>
      <c r="L33" s="42" t="n"/>
      <c r="M33" s="42" t="n"/>
      <c r="N33" s="42" t="n"/>
      <c r="O33" s="42" t="n"/>
      <c r="P33" s="42" t="n"/>
      <c r="Q33" s="42" t="n"/>
      <c r="R33" s="46" t="n"/>
      <c r="S33" s="47" t="n"/>
    </row>
    <row r="34" ht="15" customHeight="1" s="24">
      <c r="A34" s="42" t="n"/>
      <c r="B34" s="42" t="n"/>
      <c r="C34" s="42" t="n"/>
      <c r="D34" s="42" t="n"/>
      <c r="E34" s="42" t="n"/>
      <c r="F34" s="42" t="n"/>
      <c r="G34" s="42" t="n"/>
      <c r="H34" s="42" t="n"/>
      <c r="I34" s="42" t="n"/>
      <c r="J34" s="42" t="n"/>
      <c r="K34" s="42" t="n"/>
      <c r="L34" s="42" t="n"/>
      <c r="M34" s="42" t="n"/>
      <c r="N34" s="42" t="n"/>
      <c r="O34" s="42" t="n"/>
      <c r="P34" s="42" t="n"/>
      <c r="Q34" s="42" t="n"/>
      <c r="R34" s="46" t="n"/>
      <c r="S34" s="47" t="n"/>
    </row>
    <row r="35" ht="15" customHeight="1" s="24">
      <c r="A35" s="42" t="n"/>
      <c r="B35" s="42" t="n"/>
      <c r="C35" s="42" t="n"/>
      <c r="D35" s="42" t="n"/>
      <c r="E35" s="42" t="n"/>
      <c r="F35" s="42" t="n"/>
      <c r="G35" s="42" t="n"/>
      <c r="H35" s="42" t="n"/>
      <c r="I35" s="42" t="n"/>
      <c r="J35" s="42" t="n"/>
      <c r="K35" s="42" t="n"/>
      <c r="L35" s="42" t="n"/>
      <c r="M35" s="42" t="n"/>
      <c r="N35" s="42" t="n"/>
      <c r="O35" s="42" t="n"/>
      <c r="P35" s="42" t="n"/>
      <c r="Q35" s="42" t="n"/>
      <c r="R35" s="46" t="n"/>
      <c r="S35" s="47" t="n"/>
    </row>
    <row r="36" ht="15" customHeight="1" s="24">
      <c r="A36" s="42" t="n"/>
      <c r="B36" s="42" t="n"/>
      <c r="C36" s="42" t="n"/>
      <c r="D36" s="42" t="n"/>
      <c r="E36" s="42" t="n"/>
      <c r="F36" s="42" t="n"/>
      <c r="G36" s="42" t="n"/>
      <c r="H36" s="42" t="n"/>
      <c r="I36" s="42" t="n"/>
      <c r="J36" s="42" t="n"/>
      <c r="K36" s="42" t="n"/>
      <c r="L36" s="42" t="n"/>
      <c r="M36" s="42" t="n"/>
      <c r="N36" s="42" t="n"/>
      <c r="O36" s="42" t="n"/>
      <c r="P36" s="42" t="n"/>
      <c r="Q36" s="42" t="n"/>
      <c r="R36" s="46" t="n"/>
      <c r="S36" s="47" t="n"/>
    </row>
    <row r="37" ht="15" customHeight="1" s="24">
      <c r="A37" s="42" t="n"/>
      <c r="B37" s="42" t="n"/>
      <c r="C37" s="42" t="n"/>
      <c r="D37" s="42" t="n"/>
      <c r="E37" s="42" t="n"/>
      <c r="F37" s="42" t="n"/>
      <c r="G37" s="42" t="n"/>
      <c r="H37" s="42" t="n"/>
      <c r="I37" s="42" t="n"/>
      <c r="J37" s="42" t="n"/>
      <c r="K37" s="42" t="n"/>
      <c r="L37" s="42" t="n"/>
      <c r="M37" s="42" t="n"/>
      <c r="N37" s="42" t="n"/>
      <c r="O37" s="42" t="n"/>
      <c r="P37" s="42" t="n"/>
      <c r="Q37" s="42" t="n"/>
      <c r="R37" s="46" t="n"/>
      <c r="S37" s="47" t="n"/>
    </row>
    <row r="38" ht="15" customHeight="1" s="24">
      <c r="A38" s="42" t="n"/>
      <c r="B38" s="42" t="n"/>
      <c r="C38" s="42" t="n"/>
      <c r="D38" s="42" t="n"/>
      <c r="E38" s="42" t="n"/>
      <c r="F38" s="42" t="n"/>
      <c r="G38" s="42" t="n"/>
      <c r="H38" s="42" t="n"/>
      <c r="I38" s="42" t="n"/>
      <c r="J38" s="42" t="n"/>
      <c r="K38" s="42" t="n"/>
      <c r="L38" s="42" t="n"/>
      <c r="M38" s="42" t="n"/>
      <c r="N38" s="42" t="n"/>
      <c r="O38" s="42" t="n"/>
      <c r="P38" s="42" t="n"/>
      <c r="Q38" s="42" t="n"/>
      <c r="R38" s="46" t="n"/>
      <c r="S38" s="47" t="n"/>
    </row>
    <row r="39" ht="15" customHeight="1" s="24">
      <c r="A39" s="42" t="n"/>
      <c r="B39" s="42" t="n"/>
      <c r="C39" s="42" t="n"/>
      <c r="D39" s="42" t="n"/>
      <c r="E39" s="42" t="n"/>
      <c r="F39" s="42" t="n"/>
      <c r="G39" s="42" t="n"/>
      <c r="H39" s="42" t="n"/>
      <c r="I39" s="42" t="n"/>
      <c r="J39" s="42" t="n"/>
      <c r="K39" s="42" t="n"/>
      <c r="L39" s="42" t="n"/>
      <c r="M39" s="42" t="n"/>
      <c r="N39" s="42" t="n"/>
      <c r="O39" s="42" t="n"/>
      <c r="P39" s="42" t="n"/>
      <c r="Q39" s="42" t="n"/>
      <c r="R39" s="46" t="n"/>
      <c r="S39" s="47" t="n"/>
    </row>
    <row r="40" ht="15" customHeight="1" s="24">
      <c r="A40" s="42" t="n"/>
      <c r="B40" s="42" t="n"/>
      <c r="C40" s="42" t="n"/>
      <c r="D40" s="42" t="n"/>
      <c r="E40" s="42" t="n"/>
      <c r="F40" s="42" t="n"/>
      <c r="G40" s="42" t="n"/>
      <c r="H40" s="42" t="n"/>
      <c r="I40" s="42" t="n"/>
      <c r="J40" s="42" t="n"/>
      <c r="K40" s="42" t="n"/>
      <c r="L40" s="42" t="n"/>
      <c r="M40" s="42" t="n"/>
      <c r="N40" s="42" t="n"/>
      <c r="O40" s="42" t="n"/>
      <c r="P40" s="42" t="n"/>
      <c r="Q40" s="42" t="n"/>
      <c r="R40" s="46" t="n"/>
      <c r="S40" s="47" t="n"/>
    </row>
    <row r="41" ht="15" customHeight="1" s="24">
      <c r="A41" s="42" t="n"/>
      <c r="B41" s="42" t="n"/>
      <c r="C41" s="42" t="n"/>
      <c r="D41" s="42" t="n"/>
      <c r="E41" s="42" t="n"/>
      <c r="F41" s="42" t="n"/>
      <c r="G41" s="42" t="n"/>
      <c r="H41" s="42" t="n"/>
      <c r="I41" s="42" t="n"/>
      <c r="J41" s="42" t="n"/>
      <c r="K41" s="42" t="n"/>
      <c r="L41" s="42" t="n"/>
      <c r="M41" s="42" t="n"/>
      <c r="N41" s="42" t="n"/>
      <c r="O41" s="42" t="n"/>
      <c r="P41" s="42" t="n"/>
      <c r="Q41" s="42" t="n"/>
      <c r="R41" s="46" t="n"/>
      <c r="S41" s="47" t="n"/>
    </row>
    <row r="42" ht="15" customHeight="1" s="24">
      <c r="A42" s="42" t="n"/>
      <c r="B42" s="42" t="n"/>
      <c r="C42" s="42" t="n"/>
      <c r="D42" s="42" t="n"/>
      <c r="E42" s="42" t="n"/>
      <c r="F42" s="42" t="n"/>
      <c r="G42" s="42" t="n"/>
      <c r="H42" s="42" t="n"/>
      <c r="I42" s="42" t="n"/>
      <c r="J42" s="42" t="n"/>
      <c r="K42" s="42" t="n"/>
      <c r="L42" s="42" t="n"/>
      <c r="M42" s="42" t="n"/>
      <c r="N42" s="42" t="n"/>
      <c r="O42" s="42" t="n"/>
      <c r="P42" s="42" t="n"/>
      <c r="Q42" s="42" t="n"/>
      <c r="R42" s="46" t="n"/>
      <c r="S42" s="47" t="n"/>
    </row>
    <row r="43" ht="15" customHeight="1" s="24">
      <c r="A43" s="42" t="n"/>
      <c r="B43" s="42" t="n"/>
      <c r="C43" s="42" t="n"/>
      <c r="D43" s="42" t="n"/>
      <c r="E43" s="42" t="n"/>
      <c r="F43" s="42" t="n"/>
      <c r="G43" s="42" t="n"/>
      <c r="H43" s="42" t="n"/>
      <c r="I43" s="42" t="n"/>
      <c r="J43" s="42" t="n"/>
      <c r="K43" s="42" t="n"/>
      <c r="L43" s="42" t="n"/>
      <c r="M43" s="42" t="n"/>
      <c r="N43" s="42" t="n"/>
      <c r="O43" s="42" t="n"/>
      <c r="P43" s="42" t="n"/>
      <c r="Q43" s="42" t="n"/>
      <c r="R43" s="46" t="n"/>
      <c r="S43" s="47" t="n"/>
    </row>
    <row r="44" ht="15" customHeight="1" s="24">
      <c r="A44" s="42" t="n"/>
      <c r="B44" s="42" t="n"/>
      <c r="C44" s="42" t="n"/>
      <c r="D44" s="42" t="n"/>
      <c r="E44" s="42" t="n"/>
      <c r="F44" s="42" t="n"/>
      <c r="G44" s="42" t="n"/>
      <c r="H44" s="42" t="n"/>
      <c r="I44" s="42" t="n"/>
      <c r="J44" s="42" t="n"/>
      <c r="K44" s="42" t="n"/>
      <c r="L44" s="42" t="n"/>
      <c r="M44" s="42" t="n"/>
      <c r="N44" s="42" t="n"/>
      <c r="O44" s="42" t="n"/>
      <c r="P44" s="42" t="n"/>
      <c r="Q44" s="42" t="n"/>
      <c r="R44" s="46" t="n"/>
      <c r="S44" s="47" t="n"/>
    </row>
    <row r="45" ht="15" customHeight="1" s="24">
      <c r="A45" s="42" t="n"/>
      <c r="B45" s="42" t="n"/>
      <c r="C45" s="42" t="n"/>
      <c r="D45" s="42" t="n"/>
      <c r="E45" s="42" t="n"/>
      <c r="F45" s="42" t="n"/>
      <c r="G45" s="42" t="n"/>
      <c r="H45" s="42" t="n"/>
      <c r="I45" s="42" t="n"/>
      <c r="J45" s="42" t="n"/>
      <c r="K45" s="42" t="n"/>
      <c r="L45" s="42" t="n"/>
      <c r="M45" s="42" t="n"/>
      <c r="N45" s="42" t="n"/>
      <c r="O45" s="42" t="n"/>
      <c r="P45" s="42" t="n"/>
      <c r="Q45" s="42" t="n"/>
      <c r="R45" s="46" t="n"/>
      <c r="S45" s="47" t="n"/>
    </row>
    <row r="46" ht="15" customHeight="1" s="24">
      <c r="A46" s="42" t="n"/>
      <c r="B46" s="42" t="n"/>
      <c r="C46" s="42" t="n"/>
      <c r="D46" s="42" t="n"/>
      <c r="E46" s="42" t="n"/>
      <c r="F46" s="42" t="n"/>
      <c r="G46" s="42" t="n"/>
      <c r="H46" s="42" t="n"/>
      <c r="I46" s="42" t="n"/>
      <c r="J46" s="42" t="n"/>
      <c r="K46" s="42" t="n"/>
      <c r="L46" s="42" t="n"/>
      <c r="M46" s="42" t="n"/>
      <c r="N46" s="42" t="n"/>
      <c r="O46" s="42" t="n"/>
      <c r="P46" s="42" t="n"/>
      <c r="Q46" s="42" t="n"/>
      <c r="R46" s="46" t="n"/>
      <c r="S46" s="47" t="n"/>
    </row>
    <row r="47" ht="15" customHeight="1" s="24">
      <c r="A47" s="42" t="n"/>
      <c r="B47" s="42" t="n"/>
      <c r="C47" s="42" t="n"/>
      <c r="D47" s="42" t="n"/>
      <c r="E47" s="42" t="n"/>
      <c r="F47" s="42" t="n"/>
      <c r="G47" s="42" t="n"/>
      <c r="H47" s="42" t="n"/>
      <c r="I47" s="42" t="n"/>
      <c r="J47" s="42" t="n"/>
      <c r="K47" s="42" t="n"/>
      <c r="L47" s="42" t="n"/>
      <c r="M47" s="42" t="n"/>
      <c r="N47" s="42" t="n"/>
      <c r="O47" s="42" t="n"/>
      <c r="P47" s="42" t="n"/>
      <c r="Q47" s="42" t="n"/>
      <c r="R47" s="46" t="n"/>
      <c r="S47" s="47" t="n"/>
    </row>
    <row r="48" ht="15" customHeight="1" s="24">
      <c r="A48" s="42" t="n"/>
      <c r="B48" s="42" t="n"/>
      <c r="C48" s="42" t="n"/>
      <c r="D48" s="42" t="n"/>
      <c r="E48" s="42" t="n"/>
      <c r="F48" s="42" t="n"/>
      <c r="G48" s="42" t="n"/>
      <c r="H48" s="42" t="n"/>
      <c r="I48" s="42" t="n"/>
      <c r="J48" s="42" t="n"/>
      <c r="K48" s="42" t="n"/>
      <c r="L48" s="42" t="n"/>
      <c r="M48" s="42" t="n"/>
      <c r="N48" s="42" t="n"/>
      <c r="O48" s="42" t="n"/>
      <c r="P48" s="42" t="n"/>
      <c r="Q48" s="42" t="n"/>
      <c r="R48" s="46" t="n"/>
      <c r="S48" s="47" t="n"/>
    </row>
    <row r="49" ht="15" customHeight="1" s="24">
      <c r="A49" s="42" t="n"/>
      <c r="B49" s="42" t="n"/>
      <c r="C49" s="42" t="n"/>
      <c r="D49" s="42" t="n"/>
      <c r="E49" s="42" t="n"/>
      <c r="F49" s="42" t="n"/>
      <c r="G49" s="42" t="n"/>
      <c r="H49" s="42" t="n"/>
      <c r="I49" s="42" t="n"/>
      <c r="J49" s="42" t="n"/>
      <c r="K49" s="42" t="n"/>
      <c r="L49" s="42" t="n"/>
      <c r="M49" s="42" t="n"/>
      <c r="N49" s="42" t="n"/>
      <c r="O49" s="42" t="n"/>
      <c r="P49" s="42" t="n"/>
      <c r="Q49" s="42" t="n"/>
      <c r="R49" s="46" t="n"/>
      <c r="S49" s="47" t="n"/>
    </row>
    <row r="50" ht="15" customHeight="1" s="24">
      <c r="A50" s="42" t="n"/>
      <c r="B50" s="42" t="n"/>
      <c r="C50" s="42" t="n"/>
      <c r="D50" s="42" t="n"/>
      <c r="E50" s="42" t="n"/>
      <c r="F50" s="42" t="n"/>
      <c r="G50" s="42" t="n"/>
      <c r="H50" s="42" t="n"/>
      <c r="I50" s="42" t="n"/>
      <c r="J50" s="42" t="n"/>
      <c r="K50" s="42" t="n"/>
      <c r="L50" s="42" t="n"/>
      <c r="M50" s="42" t="n"/>
      <c r="N50" s="42" t="n"/>
      <c r="O50" s="42" t="n"/>
      <c r="P50" s="42" t="n"/>
      <c r="Q50" s="42" t="n"/>
      <c r="R50" s="46" t="n"/>
      <c r="S50" s="47" t="n"/>
    </row>
    <row r="51" ht="15" customHeight="1" s="24">
      <c r="A51" s="42" t="n"/>
      <c r="B51" s="42" t="n"/>
      <c r="C51" s="42" t="n"/>
      <c r="D51" s="42" t="n"/>
      <c r="E51" s="42" t="n"/>
      <c r="F51" s="42" t="n"/>
      <c r="G51" s="42" t="n"/>
      <c r="H51" s="42" t="n"/>
      <c r="I51" s="42" t="n"/>
      <c r="J51" s="42" t="n"/>
      <c r="K51" s="42" t="n"/>
      <c r="L51" s="42" t="n"/>
      <c r="M51" s="42" t="n"/>
      <c r="N51" s="42" t="n"/>
      <c r="O51" s="42" t="n"/>
      <c r="P51" s="42" t="n"/>
      <c r="Q51" s="42" t="n"/>
      <c r="R51" s="46" t="n"/>
      <c r="S51" s="47" t="n"/>
    </row>
    <row r="52" ht="15" customHeight="1" s="24">
      <c r="A52" s="42" t="n"/>
      <c r="B52" s="42" t="n"/>
      <c r="C52" s="42" t="n"/>
      <c r="D52" s="42" t="n"/>
      <c r="E52" s="42" t="n"/>
      <c r="F52" s="42" t="n"/>
      <c r="G52" s="42" t="n"/>
      <c r="H52" s="42" t="n"/>
      <c r="I52" s="42" t="n"/>
      <c r="J52" s="42" t="n"/>
      <c r="K52" s="42" t="n"/>
      <c r="L52" s="42" t="n"/>
      <c r="M52" s="42" t="n"/>
      <c r="N52" s="42" t="n"/>
      <c r="O52" s="42" t="n"/>
      <c r="P52" s="42" t="n"/>
      <c r="Q52" s="42" t="n"/>
      <c r="R52" s="46" t="n"/>
      <c r="S52" s="47" t="n"/>
    </row>
    <row r="53" ht="15" customHeight="1" s="24">
      <c r="A53" s="42" t="n"/>
      <c r="B53" s="42" t="n"/>
      <c r="C53" s="42" t="n"/>
      <c r="D53" s="42" t="n"/>
      <c r="E53" s="42" t="n"/>
      <c r="F53" s="42" t="n"/>
      <c r="G53" s="42" t="n"/>
      <c r="H53" s="42" t="n"/>
      <c r="I53" s="42" t="n"/>
      <c r="J53" s="42" t="n"/>
      <c r="K53" s="42" t="n"/>
      <c r="L53" s="42" t="n"/>
      <c r="M53" s="42" t="n"/>
      <c r="N53" s="42" t="n"/>
      <c r="O53" s="42" t="n"/>
      <c r="P53" s="42" t="n"/>
      <c r="Q53" s="42" t="n"/>
      <c r="R53" s="46" t="n"/>
      <c r="S53" s="47" t="n"/>
    </row>
    <row r="54" ht="15" customHeight="1" s="24">
      <c r="A54" s="42" t="n"/>
      <c r="B54" s="42" t="n"/>
      <c r="C54" s="42" t="n"/>
      <c r="D54" s="42" t="n"/>
      <c r="E54" s="42" t="n"/>
      <c r="F54" s="42" t="n"/>
      <c r="G54" s="42" t="n"/>
      <c r="H54" s="42" t="n"/>
      <c r="I54" s="42" t="n"/>
      <c r="J54" s="42" t="n"/>
      <c r="K54" s="42" t="n"/>
      <c r="L54" s="42" t="n"/>
      <c r="M54" s="42" t="n"/>
      <c r="N54" s="42" t="n"/>
      <c r="O54" s="42" t="n"/>
      <c r="P54" s="42" t="n"/>
      <c r="Q54" s="42" t="n"/>
      <c r="R54" s="46" t="n"/>
      <c r="S54" s="47" t="n"/>
    </row>
    <row r="55" ht="15" customHeight="1" s="24">
      <c r="A55" s="42" t="n"/>
      <c r="B55" s="42" t="n"/>
      <c r="C55" s="42" t="n"/>
      <c r="D55" s="42" t="n"/>
      <c r="E55" s="42" t="n"/>
      <c r="F55" s="42" t="n"/>
      <c r="G55" s="42" t="n"/>
      <c r="H55" s="42" t="n"/>
      <c r="I55" s="42" t="n"/>
      <c r="J55" s="42" t="n"/>
      <c r="K55" s="42" t="n"/>
      <c r="L55" s="42" t="n"/>
      <c r="M55" s="42" t="n"/>
      <c r="N55" s="42" t="n"/>
      <c r="O55" s="42" t="n"/>
      <c r="P55" s="42" t="n"/>
      <c r="Q55" s="42" t="n"/>
      <c r="R55" s="46" t="n"/>
      <c r="S55" s="47" t="n"/>
    </row>
    <row r="56" ht="15" customHeight="1" s="24">
      <c r="A56" s="42" t="n"/>
      <c r="B56" s="42" t="n"/>
      <c r="C56" s="42" t="n"/>
      <c r="D56" s="42" t="n"/>
      <c r="E56" s="42" t="n"/>
      <c r="F56" s="42" t="n"/>
      <c r="G56" s="42" t="n"/>
      <c r="H56" s="42" t="n"/>
      <c r="I56" s="42" t="n"/>
      <c r="J56" s="42" t="n"/>
      <c r="K56" s="42" t="n"/>
      <c r="L56" s="42" t="n"/>
      <c r="M56" s="42" t="n"/>
      <c r="N56" s="42" t="n"/>
      <c r="O56" s="42" t="n"/>
      <c r="P56" s="42" t="n"/>
      <c r="Q56" s="42" t="n"/>
      <c r="R56" s="46" t="n"/>
      <c r="S56" s="47" t="n"/>
    </row>
    <row r="57" ht="15" customHeight="1" s="24">
      <c r="A57" s="42" t="n"/>
      <c r="B57" s="42" t="n"/>
      <c r="C57" s="42" t="n"/>
      <c r="D57" s="42" t="n"/>
      <c r="E57" s="42" t="n"/>
      <c r="F57" s="42" t="n"/>
      <c r="G57" s="42" t="n"/>
      <c r="H57" s="42" t="n"/>
      <c r="I57" s="42" t="n"/>
      <c r="J57" s="42" t="n"/>
      <c r="K57" s="42" t="n"/>
      <c r="L57" s="42" t="n"/>
      <c r="M57" s="42" t="n"/>
      <c r="N57" s="42" t="n"/>
      <c r="O57" s="42" t="n"/>
      <c r="P57" s="42" t="n"/>
      <c r="Q57" s="42" t="n"/>
      <c r="R57" s="46" t="n"/>
      <c r="S57" s="47" t="n"/>
    </row>
    <row r="58" ht="15" customHeight="1" s="24">
      <c r="A58" s="42" t="n"/>
      <c r="B58" s="42" t="n"/>
      <c r="C58" s="42" t="n"/>
      <c r="D58" s="42" t="n"/>
      <c r="E58" s="42" t="n"/>
      <c r="F58" s="42" t="n"/>
      <c r="G58" s="42" t="n"/>
      <c r="H58" s="42" t="n"/>
      <c r="I58" s="42" t="n"/>
      <c r="J58" s="42" t="n"/>
      <c r="K58" s="42" t="n"/>
      <c r="L58" s="42" t="n"/>
      <c r="M58" s="42" t="n"/>
      <c r="N58" s="42" t="n"/>
      <c r="O58" s="42" t="n"/>
      <c r="P58" s="42" t="n"/>
      <c r="Q58" s="42" t="n"/>
      <c r="R58" s="46" t="n"/>
      <c r="S58" s="47" t="n"/>
    </row>
    <row r="59" ht="15" customHeight="1" s="24">
      <c r="A59" s="42" t="n"/>
      <c r="B59" s="42" t="n"/>
      <c r="C59" s="42" t="n"/>
      <c r="D59" s="42" t="n"/>
      <c r="E59" s="42" t="n"/>
      <c r="F59" s="42" t="n"/>
      <c r="G59" s="42" t="n"/>
      <c r="H59" s="42" t="n"/>
      <c r="I59" s="42" t="n"/>
      <c r="J59" s="42" t="n"/>
      <c r="K59" s="42" t="n"/>
      <c r="L59" s="42" t="n"/>
      <c r="M59" s="42" t="n"/>
      <c r="N59" s="42" t="n"/>
      <c r="O59" s="42" t="n"/>
      <c r="P59" s="42" t="n"/>
      <c r="Q59" s="42" t="n"/>
      <c r="R59" s="46" t="n"/>
      <c r="S59" s="47" t="n"/>
    </row>
    <row r="60" ht="15" customHeight="1" s="24">
      <c r="A60" s="42" t="n"/>
      <c r="B60" s="42" t="n"/>
      <c r="C60" s="42" t="n"/>
      <c r="D60" s="42" t="n"/>
      <c r="E60" s="42" t="n"/>
      <c r="F60" s="42" t="n"/>
      <c r="G60" s="42" t="n"/>
      <c r="H60" s="42" t="n"/>
      <c r="I60" s="42" t="n"/>
      <c r="J60" s="42" t="n"/>
      <c r="K60" s="42" t="n"/>
      <c r="L60" s="42" t="n"/>
      <c r="M60" s="42" t="n"/>
      <c r="N60" s="42" t="n"/>
      <c r="O60" s="42" t="n"/>
      <c r="P60" s="42" t="n"/>
      <c r="Q60" s="42" t="n"/>
      <c r="R60" s="46" t="n"/>
      <c r="S60" s="4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2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3" min="1" max="1"/>
    <col width="6" customWidth="1" style="23" min="2" max="2"/>
    <col width="10" customWidth="1" style="23" min="3" max="3"/>
    <col width="16" customWidth="1" style="23" min="4" max="4"/>
    <col width="9" customWidth="1" style="23" min="5" max="5"/>
    <col width="40" customWidth="1" style="23" min="6" max="6"/>
    <col width="16" customWidth="1" style="23" min="7" max="8"/>
    <col width="22" customWidth="1" style="23" min="9" max="9"/>
    <col width="16" customWidth="1" style="23" min="10" max="10"/>
    <col width="18" customWidth="1" style="23" min="11" max="11"/>
  </cols>
  <sheetData>
    <row r="1" ht="30" customHeight="1" s="24">
      <c r="A1" s="36" t="inlineStr">
        <is>
          <t>회차ID</t>
        </is>
      </c>
      <c r="B1" s="43" t="inlineStr">
        <is>
          <t>NO</t>
        </is>
      </c>
      <c r="C1" s="36" t="inlineStr">
        <is>
          <t>이름</t>
        </is>
      </c>
      <c r="D1" s="36" t="inlineStr">
        <is>
          <t>연락처</t>
        </is>
      </c>
      <c r="E1" s="36" t="inlineStr">
        <is>
          <t>우편번호</t>
        </is>
      </c>
      <c r="F1" s="36" t="inlineStr">
        <is>
          <t>배송주소</t>
        </is>
      </c>
      <c r="G1" s="36" t="inlineStr">
        <is>
          <t>배송장소</t>
        </is>
      </c>
      <c r="H1" s="36" t="inlineStr">
        <is>
          <t>출입방법</t>
        </is>
      </c>
      <c r="I1" s="36" t="inlineStr">
        <is>
          <t>출입방법상세</t>
        </is>
      </c>
      <c r="J1" s="36" t="inlineStr">
        <is>
          <t>송장번호</t>
        </is>
      </c>
      <c r="K1" s="36" t="inlineStr">
        <is>
          <t>비고</t>
        </is>
      </c>
    </row>
    <row r="2" ht="15" customHeight="1" s="24">
      <c r="A2" s="38" t="n"/>
      <c r="B2" s="38" t="n"/>
      <c r="C2" s="38" t="n"/>
      <c r="D2" s="44" t="n"/>
      <c r="E2" s="44" t="n"/>
      <c r="F2" s="38" t="n"/>
      <c r="G2" s="38" t="n"/>
      <c r="H2" s="38" t="n"/>
      <c r="I2" s="38" t="n"/>
      <c r="J2" s="38" t="n"/>
      <c r="K2" s="38" t="n"/>
    </row>
    <row r="3" ht="15" customHeight="1" s="24">
      <c r="A3" s="38" t="n"/>
      <c r="B3" s="38" t="n"/>
      <c r="C3" s="38" t="n"/>
      <c r="D3" s="44" t="n"/>
      <c r="E3" s="44" t="n"/>
      <c r="F3" s="38" t="n"/>
      <c r="G3" s="38" t="n"/>
      <c r="H3" s="38" t="n"/>
      <c r="I3" s="38" t="n"/>
      <c r="J3" s="38" t="n"/>
      <c r="K3" s="38" t="n"/>
    </row>
    <row r="4" ht="15" customHeight="1" s="24">
      <c r="A4" s="38" t="n"/>
      <c r="B4" s="38" t="n"/>
      <c r="C4" s="38" t="n"/>
      <c r="D4" s="44" t="n"/>
      <c r="E4" s="44" t="n"/>
      <c r="F4" s="38" t="n"/>
      <c r="G4" s="38" t="n"/>
      <c r="H4" s="38" t="n"/>
      <c r="I4" s="38" t="n"/>
      <c r="J4" s="38" t="n"/>
      <c r="K4" s="38" t="n"/>
    </row>
    <row r="5" ht="15" customHeight="1" s="24">
      <c r="A5" s="38" t="n"/>
      <c r="B5" s="38" t="n"/>
      <c r="C5" s="38" t="n"/>
      <c r="D5" s="44" t="n"/>
      <c r="E5" s="44" t="n"/>
      <c r="F5" s="38" t="n"/>
      <c r="G5" s="38" t="n"/>
      <c r="H5" s="38" t="n"/>
      <c r="I5" s="38" t="n"/>
      <c r="J5" s="38" t="n"/>
      <c r="K5" s="38" t="n"/>
    </row>
    <row r="6" ht="15" customHeight="1" s="24">
      <c r="A6" s="38" t="n"/>
      <c r="B6" s="38" t="n"/>
      <c r="C6" s="38" t="n"/>
      <c r="D6" s="44" t="n"/>
      <c r="E6" s="44" t="n"/>
      <c r="F6" s="38" t="n"/>
      <c r="G6" s="38" t="n"/>
      <c r="H6" s="38" t="n"/>
      <c r="I6" s="38" t="n"/>
      <c r="J6" s="38" t="n"/>
      <c r="K6" s="38" t="n"/>
    </row>
    <row r="7" ht="15" customHeight="1" s="24">
      <c r="A7" s="38" t="n"/>
      <c r="B7" s="38" t="n"/>
      <c r="C7" s="38" t="n"/>
      <c r="D7" s="44" t="n"/>
      <c r="E7" s="44" t="n"/>
      <c r="F7" s="38" t="n"/>
      <c r="G7" s="38" t="n"/>
      <c r="H7" s="38" t="n"/>
      <c r="I7" s="38" t="n"/>
      <c r="J7" s="38" t="n"/>
      <c r="K7" s="38" t="n"/>
    </row>
    <row r="8" ht="15" customHeight="1" s="24">
      <c r="A8" s="38" t="n"/>
      <c r="B8" s="38" t="n"/>
      <c r="C8" s="38" t="n"/>
      <c r="D8" s="44" t="n"/>
      <c r="E8" s="44" t="n"/>
      <c r="F8" s="38" t="n"/>
      <c r="G8" s="38" t="n"/>
      <c r="H8" s="38" t="n"/>
      <c r="I8" s="38" t="n"/>
      <c r="J8" s="38" t="n"/>
      <c r="K8" s="38" t="n"/>
    </row>
    <row r="9" ht="15" customHeight="1" s="24">
      <c r="A9" s="38" t="n"/>
      <c r="B9" s="38" t="n"/>
      <c r="C9" s="38" t="n"/>
      <c r="D9" s="44" t="n"/>
      <c r="E9" s="44" t="n"/>
      <c r="F9" s="38" t="n"/>
      <c r="G9" s="38" t="n"/>
      <c r="H9" s="38" t="n"/>
      <c r="I9" s="38" t="n"/>
      <c r="J9" s="38" t="n"/>
      <c r="K9" s="38" t="n"/>
    </row>
    <row r="10" ht="15" customHeight="1" s="24">
      <c r="A10" s="38" t="n"/>
      <c r="B10" s="38" t="n"/>
      <c r="C10" s="38" t="n"/>
      <c r="D10" s="44" t="n"/>
      <c r="E10" s="44" t="n"/>
      <c r="F10" s="38" t="n"/>
      <c r="G10" s="38" t="n"/>
      <c r="H10" s="38" t="n"/>
      <c r="I10" s="38" t="n"/>
      <c r="J10" s="38" t="n"/>
      <c r="K10" s="38" t="n"/>
    </row>
    <row r="11" ht="15" customHeight="1" s="24">
      <c r="A11" s="38" t="n"/>
      <c r="B11" s="38" t="n"/>
      <c r="C11" s="38" t="n"/>
      <c r="D11" s="44" t="n"/>
      <c r="E11" s="44" t="n"/>
      <c r="F11" s="38" t="n"/>
      <c r="G11" s="38" t="n"/>
      <c r="H11" s="38" t="n"/>
      <c r="I11" s="38" t="n"/>
      <c r="J11" s="38" t="n"/>
      <c r="K11" s="38" t="n"/>
    </row>
    <row r="12" ht="15" customHeight="1" s="24">
      <c r="A12" s="38" t="n"/>
      <c r="B12" s="38" t="n"/>
      <c r="C12" s="38" t="n"/>
      <c r="D12" s="44" t="n"/>
      <c r="E12" s="44" t="n"/>
      <c r="F12" s="38" t="n"/>
      <c r="G12" s="38" t="n"/>
      <c r="H12" s="38" t="n"/>
      <c r="I12" s="38" t="n"/>
      <c r="J12" s="38" t="n"/>
      <c r="K12" s="38" t="n"/>
    </row>
    <row r="13" ht="15" customHeight="1" s="24">
      <c r="A13" s="38" t="n"/>
      <c r="B13" s="38" t="n"/>
      <c r="C13" s="38" t="n"/>
      <c r="D13" s="44" t="n"/>
      <c r="E13" s="44" t="n"/>
      <c r="F13" s="38" t="n"/>
      <c r="G13" s="38" t="n"/>
      <c r="H13" s="38" t="n"/>
      <c r="I13" s="38" t="n"/>
      <c r="J13" s="38" t="n"/>
      <c r="K13" s="38" t="n"/>
    </row>
    <row r="14" ht="15" customHeight="1" s="24">
      <c r="A14" s="38" t="n"/>
      <c r="B14" s="38" t="n"/>
      <c r="C14" s="38" t="n"/>
      <c r="D14" s="44" t="n"/>
      <c r="E14" s="44" t="n"/>
      <c r="F14" s="38" t="n"/>
      <c r="G14" s="38" t="n"/>
      <c r="H14" s="38" t="n"/>
      <c r="I14" s="38" t="n"/>
      <c r="J14" s="38" t="n"/>
      <c r="K14" s="38" t="n"/>
    </row>
    <row r="15" ht="15" customHeight="1" s="24">
      <c r="A15" s="38" t="n"/>
      <c r="B15" s="38" t="n"/>
      <c r="C15" s="38" t="n"/>
      <c r="D15" s="44" t="n"/>
      <c r="E15" s="44" t="n"/>
      <c r="F15" s="38" t="n"/>
      <c r="G15" s="38" t="n"/>
      <c r="H15" s="38" t="n"/>
      <c r="I15" s="38" t="n"/>
      <c r="J15" s="38" t="n"/>
      <c r="K15" s="38" t="n"/>
    </row>
    <row r="16" ht="15" customHeight="1" s="24">
      <c r="A16" s="38" t="n"/>
      <c r="B16" s="38" t="n"/>
      <c r="C16" s="38" t="n"/>
      <c r="D16" s="44" t="n"/>
      <c r="E16" s="44" t="n"/>
      <c r="F16" s="38" t="n"/>
      <c r="G16" s="38" t="n"/>
      <c r="H16" s="38" t="n"/>
      <c r="I16" s="38" t="n"/>
      <c r="J16" s="38" t="n"/>
      <c r="K16" s="38" t="n"/>
    </row>
    <row r="17" ht="15" customHeight="1" s="24">
      <c r="A17" s="38" t="n"/>
      <c r="B17" s="38" t="n"/>
      <c r="C17" s="38" t="n"/>
      <c r="D17" s="44" t="n"/>
      <c r="E17" s="44" t="n"/>
      <c r="F17" s="38" t="n"/>
      <c r="G17" s="38" t="n"/>
      <c r="H17" s="38" t="n"/>
      <c r="I17" s="38" t="n"/>
      <c r="J17" s="38" t="n"/>
      <c r="K17" s="38" t="n"/>
    </row>
    <row r="18" ht="15" customHeight="1" s="24">
      <c r="A18" s="38" t="n"/>
      <c r="B18" s="38" t="n"/>
      <c r="C18" s="38" t="n"/>
      <c r="D18" s="44" t="n"/>
      <c r="E18" s="44" t="n"/>
      <c r="F18" s="38" t="n"/>
      <c r="G18" s="38" t="n"/>
      <c r="H18" s="38" t="n"/>
      <c r="I18" s="38" t="n"/>
      <c r="J18" s="38" t="n"/>
      <c r="K18" s="38" t="n"/>
    </row>
    <row r="19" ht="15" customHeight="1" s="24">
      <c r="A19" s="38" t="n"/>
      <c r="B19" s="38" t="n"/>
      <c r="C19" s="38" t="n"/>
      <c r="D19" s="44" t="n"/>
      <c r="E19" s="44" t="n"/>
      <c r="F19" s="38" t="n"/>
      <c r="G19" s="38" t="n"/>
      <c r="H19" s="38" t="n"/>
      <c r="I19" s="38" t="n"/>
      <c r="J19" s="38" t="n"/>
      <c r="K19" s="38" t="n"/>
    </row>
    <row r="20" ht="15" customHeight="1" s="24">
      <c r="A20" s="38" t="n"/>
      <c r="B20" s="38" t="n"/>
      <c r="C20" s="38" t="n"/>
      <c r="D20" s="44" t="n"/>
      <c r="E20" s="44" t="n"/>
      <c r="F20" s="38" t="n"/>
      <c r="G20" s="38" t="n"/>
      <c r="H20" s="38" t="n"/>
      <c r="I20" s="38" t="n"/>
      <c r="J20" s="38" t="n"/>
      <c r="K20" s="38" t="n"/>
    </row>
    <row r="21" ht="15" customHeight="1" s="24">
      <c r="A21" s="38" t="n"/>
      <c r="B21" s="38" t="n"/>
      <c r="C21" s="38" t="n"/>
      <c r="D21" s="44" t="n"/>
      <c r="E21" s="44" t="n"/>
      <c r="F21" s="38" t="n"/>
      <c r="G21" s="38" t="n"/>
      <c r="H21" s="38" t="n"/>
      <c r="I21" s="38" t="n"/>
      <c r="J21" s="38" t="n"/>
      <c r="K21" s="38" t="n"/>
    </row>
    <row r="22" ht="15" customHeight="1" s="24">
      <c r="A22" s="38" t="n"/>
      <c r="B22" s="38" t="n"/>
      <c r="C22" s="38" t="n"/>
      <c r="D22" s="44" t="n"/>
      <c r="E22" s="44" t="n"/>
      <c r="F22" s="38" t="n"/>
      <c r="G22" s="38" t="n"/>
      <c r="H22" s="38" t="n"/>
      <c r="I22" s="38" t="n"/>
      <c r="J22" s="38" t="n"/>
      <c r="K22" s="38" t="n"/>
    </row>
    <row r="23" ht="15" customHeight="1" s="24">
      <c r="A23" s="38" t="n"/>
      <c r="B23" s="38" t="n"/>
      <c r="C23" s="38" t="n"/>
      <c r="D23" s="44" t="n"/>
      <c r="E23" s="44" t="n"/>
      <c r="F23" s="38" t="n"/>
      <c r="G23" s="38" t="n"/>
      <c r="H23" s="38" t="n"/>
      <c r="I23" s="38" t="n"/>
      <c r="J23" s="38" t="n"/>
      <c r="K23" s="38" t="n"/>
    </row>
    <row r="24" ht="15" customHeight="1" s="24">
      <c r="A24" s="38" t="n"/>
      <c r="B24" s="38" t="n"/>
      <c r="C24" s="38" t="n"/>
      <c r="D24" s="44" t="n"/>
      <c r="E24" s="44" t="n"/>
      <c r="F24" s="38" t="n"/>
      <c r="G24" s="38" t="n"/>
      <c r="H24" s="38" t="n"/>
      <c r="I24" s="38" t="n"/>
      <c r="J24" s="38" t="n"/>
      <c r="K24" s="38" t="n"/>
    </row>
    <row r="25" ht="15" customHeight="1" s="24">
      <c r="A25" s="38" t="n"/>
      <c r="B25" s="38" t="n"/>
      <c r="C25" s="38" t="n"/>
      <c r="D25" s="44" t="n"/>
      <c r="E25" s="44" t="n"/>
      <c r="F25" s="38" t="n"/>
      <c r="G25" s="38" t="n"/>
      <c r="H25" s="38" t="n"/>
      <c r="I25" s="38" t="n"/>
      <c r="J25" s="38" t="n"/>
      <c r="K25" s="38" t="n"/>
    </row>
    <row r="26" ht="15" customHeight="1" s="24">
      <c r="A26" s="38" t="n"/>
      <c r="B26" s="38" t="n"/>
      <c r="C26" s="38" t="n"/>
      <c r="D26" s="44" t="n"/>
      <c r="E26" s="44" t="n"/>
      <c r="F26" s="38" t="n"/>
      <c r="G26" s="38" t="n"/>
      <c r="H26" s="38" t="n"/>
      <c r="I26" s="38" t="n"/>
      <c r="J26" s="38" t="n"/>
      <c r="K26" s="38" t="n"/>
    </row>
    <row r="27" ht="15" customHeight="1" s="24">
      <c r="A27" s="38" t="n"/>
      <c r="B27" s="38" t="n"/>
      <c r="C27" s="38" t="n"/>
      <c r="D27" s="44" t="n"/>
      <c r="E27" s="44" t="n"/>
      <c r="F27" s="38" t="n"/>
      <c r="G27" s="38" t="n"/>
      <c r="H27" s="38" t="n"/>
      <c r="I27" s="38" t="n"/>
      <c r="J27" s="38" t="n"/>
      <c r="K27" s="38" t="n"/>
    </row>
    <row r="28" ht="15" customHeight="1" s="24">
      <c r="A28" s="38" t="n"/>
      <c r="B28" s="38" t="n"/>
      <c r="C28" s="38" t="n"/>
      <c r="D28" s="44" t="n"/>
      <c r="E28" s="44" t="n"/>
      <c r="F28" s="38" t="n"/>
      <c r="G28" s="38" t="n"/>
      <c r="H28" s="38" t="n"/>
      <c r="I28" s="38" t="n"/>
      <c r="J28" s="38" t="n"/>
      <c r="K28" s="38" t="n"/>
    </row>
    <row r="29" ht="15" customHeight="1" s="24">
      <c r="A29" s="38" t="n"/>
      <c r="B29" s="38" t="n"/>
      <c r="C29" s="38" t="n"/>
      <c r="D29" s="44" t="n"/>
      <c r="E29" s="44" t="n"/>
      <c r="F29" s="38" t="n"/>
      <c r="G29" s="38" t="n"/>
      <c r="H29" s="38" t="n"/>
      <c r="I29" s="38" t="n"/>
      <c r="J29" s="38" t="n"/>
      <c r="K29" s="38" t="n"/>
    </row>
    <row r="30" ht="15" customHeight="1" s="24">
      <c r="A30" s="38" t="n"/>
      <c r="B30" s="38" t="n"/>
      <c r="C30" s="38" t="n"/>
      <c r="D30" s="44" t="n"/>
      <c r="E30" s="44" t="n"/>
      <c r="F30" s="38" t="n"/>
      <c r="G30" s="38" t="n"/>
      <c r="H30" s="38" t="n"/>
      <c r="I30" s="38" t="n"/>
      <c r="J30" s="38" t="n"/>
      <c r="K30" s="38" t="n"/>
    </row>
    <row r="31" ht="15" customHeight="1" s="24">
      <c r="A31" s="38" t="n"/>
      <c r="B31" s="38" t="n"/>
      <c r="C31" s="38" t="n"/>
      <c r="D31" s="44" t="n"/>
      <c r="E31" s="44" t="n"/>
      <c r="F31" s="38" t="n"/>
      <c r="G31" s="38" t="n"/>
      <c r="H31" s="38" t="n"/>
      <c r="I31" s="38" t="n"/>
      <c r="J31" s="38" t="n"/>
      <c r="K31" s="38" t="n"/>
    </row>
    <row r="32" ht="15" customHeight="1" s="24">
      <c r="A32" s="38" t="n"/>
      <c r="B32" s="38" t="n"/>
      <c r="C32" s="38" t="n"/>
      <c r="D32" s="44" t="n"/>
      <c r="E32" s="44" t="n"/>
      <c r="F32" s="38" t="n"/>
      <c r="G32" s="38" t="n"/>
      <c r="H32" s="38" t="n"/>
      <c r="I32" s="38" t="n"/>
      <c r="J32" s="38" t="n"/>
      <c r="K32" s="38" t="n"/>
    </row>
    <row r="33" ht="15" customHeight="1" s="24">
      <c r="A33" s="38" t="n"/>
      <c r="B33" s="38" t="n"/>
      <c r="C33" s="38" t="n"/>
      <c r="D33" s="44" t="n"/>
      <c r="E33" s="44" t="n"/>
      <c r="F33" s="38" t="n"/>
      <c r="G33" s="38" t="n"/>
      <c r="H33" s="38" t="n"/>
      <c r="I33" s="38" t="n"/>
      <c r="J33" s="38" t="n"/>
      <c r="K33" s="38" t="n"/>
    </row>
    <row r="34" ht="15" customHeight="1" s="24">
      <c r="A34" s="38" t="n"/>
      <c r="B34" s="38" t="n"/>
      <c r="C34" s="38" t="n"/>
      <c r="D34" s="44" t="n"/>
      <c r="E34" s="44" t="n"/>
      <c r="F34" s="38" t="n"/>
      <c r="G34" s="38" t="n"/>
      <c r="H34" s="38" t="n"/>
      <c r="I34" s="38" t="n"/>
      <c r="J34" s="38" t="n"/>
      <c r="K34" s="38" t="n"/>
    </row>
    <row r="35" ht="15" customHeight="1" s="24">
      <c r="A35" s="38" t="n"/>
      <c r="B35" s="38" t="n"/>
      <c r="C35" s="38" t="n"/>
      <c r="D35" s="44" t="n"/>
      <c r="E35" s="44" t="n"/>
      <c r="F35" s="38" t="n"/>
      <c r="G35" s="38" t="n"/>
      <c r="H35" s="38" t="n"/>
      <c r="I35" s="38" t="n"/>
      <c r="J35" s="38" t="n"/>
      <c r="K35" s="38" t="n"/>
    </row>
    <row r="36" ht="15" customHeight="1" s="24">
      <c r="A36" s="38" t="n"/>
      <c r="B36" s="38" t="n"/>
      <c r="C36" s="38" t="n"/>
      <c r="D36" s="44" t="n"/>
      <c r="E36" s="44" t="n"/>
      <c r="F36" s="38" t="n"/>
      <c r="G36" s="38" t="n"/>
      <c r="H36" s="38" t="n"/>
      <c r="I36" s="38" t="n"/>
      <c r="J36" s="38" t="n"/>
      <c r="K36" s="38" t="n"/>
    </row>
    <row r="37" ht="15" customHeight="1" s="24">
      <c r="A37" s="38" t="n"/>
      <c r="B37" s="38" t="n"/>
      <c r="C37" s="38" t="n"/>
      <c r="D37" s="44" t="n"/>
      <c r="E37" s="44" t="n"/>
      <c r="F37" s="38" t="n"/>
      <c r="G37" s="38" t="n"/>
      <c r="H37" s="38" t="n"/>
      <c r="I37" s="38" t="n"/>
      <c r="J37" s="38" t="n"/>
      <c r="K37" s="38" t="n"/>
    </row>
    <row r="38" ht="15" customHeight="1" s="24">
      <c r="A38" s="38" t="n"/>
      <c r="B38" s="38" t="n"/>
      <c r="C38" s="38" t="n"/>
      <c r="D38" s="44" t="n"/>
      <c r="E38" s="44" t="n"/>
      <c r="F38" s="38" t="n"/>
      <c r="G38" s="38" t="n"/>
      <c r="H38" s="38" t="n"/>
      <c r="I38" s="38" t="n"/>
      <c r="J38" s="38" t="n"/>
      <c r="K38" s="38" t="n"/>
    </row>
    <row r="39" ht="15" customHeight="1" s="24">
      <c r="A39" s="38" t="n"/>
      <c r="B39" s="38" t="n"/>
      <c r="C39" s="38" t="n"/>
      <c r="D39" s="44" t="n"/>
      <c r="E39" s="44" t="n"/>
      <c r="F39" s="38" t="n"/>
      <c r="G39" s="38" t="n"/>
      <c r="H39" s="38" t="n"/>
      <c r="I39" s="38" t="n"/>
      <c r="J39" s="38" t="n"/>
      <c r="K39" s="38" t="n"/>
    </row>
    <row r="40" ht="15" customHeight="1" s="24">
      <c r="A40" s="38" t="n"/>
      <c r="B40" s="38" t="n"/>
      <c r="C40" s="38" t="n"/>
      <c r="D40" s="44" t="n"/>
      <c r="E40" s="44" t="n"/>
      <c r="F40" s="38" t="n"/>
      <c r="G40" s="38" t="n"/>
      <c r="H40" s="38" t="n"/>
      <c r="I40" s="38" t="n"/>
      <c r="J40" s="38" t="n"/>
      <c r="K40" s="38" t="n"/>
    </row>
    <row r="41" ht="15" customHeight="1" s="24">
      <c r="A41" s="38" t="n"/>
      <c r="B41" s="38" t="n"/>
      <c r="C41" s="38" t="n"/>
      <c r="D41" s="44" t="n"/>
      <c r="E41" s="44" t="n"/>
      <c r="F41" s="38" t="n"/>
      <c r="G41" s="38" t="n"/>
      <c r="H41" s="38" t="n"/>
      <c r="I41" s="38" t="n"/>
      <c r="J41" s="38" t="n"/>
      <c r="K41" s="38" t="n"/>
    </row>
    <row r="42" ht="15" customHeight="1" s="24">
      <c r="A42" s="38" t="n"/>
      <c r="B42" s="38" t="n"/>
      <c r="C42" s="38" t="n"/>
      <c r="D42" s="44" t="n"/>
      <c r="E42" s="44" t="n"/>
      <c r="F42" s="38" t="n"/>
      <c r="G42" s="38" t="n"/>
      <c r="H42" s="38" t="n"/>
      <c r="I42" s="38" t="n"/>
      <c r="J42" s="38" t="n"/>
      <c r="K42" s="38" t="n"/>
    </row>
    <row r="43" ht="15" customHeight="1" s="24">
      <c r="A43" s="38" t="n"/>
      <c r="B43" s="38" t="n"/>
      <c r="C43" s="38" t="n"/>
      <c r="D43" s="44" t="n"/>
      <c r="E43" s="44" t="n"/>
      <c r="F43" s="38" t="n"/>
      <c r="G43" s="38" t="n"/>
      <c r="H43" s="38" t="n"/>
      <c r="I43" s="38" t="n"/>
      <c r="J43" s="38" t="n"/>
      <c r="K43" s="38" t="n"/>
    </row>
    <row r="44" ht="15" customHeight="1" s="24">
      <c r="A44" s="38" t="n"/>
      <c r="B44" s="38" t="n"/>
      <c r="C44" s="38" t="n"/>
      <c r="D44" s="44" t="n"/>
      <c r="E44" s="44" t="n"/>
      <c r="F44" s="38" t="n"/>
      <c r="G44" s="38" t="n"/>
      <c r="H44" s="38" t="n"/>
      <c r="I44" s="38" t="n"/>
      <c r="J44" s="38" t="n"/>
      <c r="K44" s="38" t="n"/>
    </row>
    <row r="45" ht="15" customHeight="1" s="24">
      <c r="A45" s="38" t="n"/>
      <c r="B45" s="38" t="n"/>
      <c r="C45" s="38" t="n"/>
      <c r="D45" s="44" t="n"/>
      <c r="E45" s="44" t="n"/>
      <c r="F45" s="38" t="n"/>
      <c r="G45" s="38" t="n"/>
      <c r="H45" s="38" t="n"/>
      <c r="I45" s="38" t="n"/>
      <c r="J45" s="38" t="n"/>
      <c r="K45" s="38" t="n"/>
    </row>
    <row r="46" ht="15" customHeight="1" s="24">
      <c r="A46" s="38" t="n"/>
      <c r="B46" s="38" t="n"/>
      <c r="C46" s="38" t="n"/>
      <c r="D46" s="44" t="n"/>
      <c r="E46" s="44" t="n"/>
      <c r="F46" s="38" t="n"/>
      <c r="G46" s="38" t="n"/>
      <c r="H46" s="38" t="n"/>
      <c r="I46" s="38" t="n"/>
      <c r="J46" s="38" t="n"/>
      <c r="K46" s="38" t="n"/>
    </row>
    <row r="47" ht="15" customHeight="1" s="24">
      <c r="A47" s="38" t="n"/>
      <c r="B47" s="38" t="n"/>
      <c r="C47" s="38" t="n"/>
      <c r="D47" s="44" t="n"/>
      <c r="E47" s="44" t="n"/>
      <c r="F47" s="38" t="n"/>
      <c r="G47" s="38" t="n"/>
      <c r="H47" s="38" t="n"/>
      <c r="I47" s="38" t="n"/>
      <c r="J47" s="38" t="n"/>
      <c r="K47" s="38" t="n"/>
    </row>
    <row r="48" ht="15" customHeight="1" s="24">
      <c r="A48" s="38" t="n"/>
      <c r="B48" s="38" t="n"/>
      <c r="C48" s="38" t="n"/>
      <c r="D48" s="44" t="n"/>
      <c r="E48" s="44" t="n"/>
      <c r="F48" s="38" t="n"/>
      <c r="G48" s="38" t="n"/>
      <c r="H48" s="38" t="n"/>
      <c r="I48" s="38" t="n"/>
      <c r="J48" s="38" t="n"/>
      <c r="K48" s="38" t="n"/>
    </row>
    <row r="49" ht="15" customHeight="1" s="24">
      <c r="A49" s="38" t="n"/>
      <c r="B49" s="38" t="n"/>
      <c r="C49" s="38" t="n"/>
      <c r="D49" s="44" t="n"/>
      <c r="E49" s="44" t="n"/>
      <c r="F49" s="38" t="n"/>
      <c r="G49" s="38" t="n"/>
      <c r="H49" s="38" t="n"/>
      <c r="I49" s="38" t="n"/>
      <c r="J49" s="38" t="n"/>
      <c r="K49" s="38" t="n"/>
    </row>
    <row r="50" ht="15" customHeight="1" s="24">
      <c r="A50" s="38" t="n"/>
      <c r="B50" s="38" t="n"/>
      <c r="C50" s="38" t="n"/>
      <c r="D50" s="44" t="n"/>
      <c r="E50" s="44" t="n"/>
      <c r="F50" s="38" t="n"/>
      <c r="G50" s="38" t="n"/>
      <c r="H50" s="38" t="n"/>
      <c r="I50" s="38" t="n"/>
      <c r="J50" s="38" t="n"/>
      <c r="K50" s="38" t="n"/>
    </row>
    <row r="51" ht="15" customHeight="1" s="24">
      <c r="A51" s="38" t="n"/>
      <c r="B51" s="38" t="n"/>
      <c r="C51" s="38" t="n"/>
      <c r="D51" s="44" t="n"/>
      <c r="E51" s="44" t="n"/>
      <c r="F51" s="38" t="n"/>
      <c r="G51" s="38" t="n"/>
      <c r="H51" s="38" t="n"/>
      <c r="I51" s="38" t="n"/>
      <c r="J51" s="38" t="n"/>
      <c r="K51" s="38" t="n"/>
    </row>
    <row r="52" ht="15" customHeight="1" s="24">
      <c r="A52" s="38" t="n"/>
      <c r="B52" s="38" t="n"/>
      <c r="C52" s="38" t="n"/>
      <c r="D52" s="44" t="n"/>
      <c r="E52" s="44" t="n"/>
      <c r="F52" s="38" t="n"/>
      <c r="G52" s="38" t="n"/>
      <c r="H52" s="38" t="n"/>
      <c r="I52" s="38" t="n"/>
      <c r="J52" s="38" t="n"/>
      <c r="K52" s="38" t="n"/>
    </row>
    <row r="53" ht="15" customHeight="1" s="24">
      <c r="A53" s="38" t="n"/>
      <c r="B53" s="38" t="n"/>
      <c r="C53" s="38" t="n"/>
      <c r="D53" s="44" t="n"/>
      <c r="E53" s="44" t="n"/>
      <c r="F53" s="38" t="n"/>
      <c r="G53" s="38" t="n"/>
      <c r="H53" s="38" t="n"/>
      <c r="I53" s="38" t="n"/>
      <c r="J53" s="38" t="n"/>
      <c r="K53" s="38" t="n"/>
    </row>
    <row r="54" ht="15" customHeight="1" s="24">
      <c r="A54" s="38" t="n"/>
      <c r="B54" s="38" t="n"/>
      <c r="C54" s="38" t="n"/>
      <c r="D54" s="44" t="n"/>
      <c r="E54" s="44" t="n"/>
      <c r="F54" s="38" t="n"/>
      <c r="G54" s="38" t="n"/>
      <c r="H54" s="38" t="n"/>
      <c r="I54" s="38" t="n"/>
      <c r="J54" s="38" t="n"/>
      <c r="K54" s="38" t="n"/>
    </row>
    <row r="55" ht="15" customHeight="1" s="24">
      <c r="A55" s="38" t="n"/>
      <c r="B55" s="38" t="n"/>
      <c r="C55" s="38" t="n"/>
      <c r="D55" s="44" t="n"/>
      <c r="E55" s="44" t="n"/>
      <c r="F55" s="38" t="n"/>
      <c r="G55" s="38" t="n"/>
      <c r="H55" s="38" t="n"/>
      <c r="I55" s="38" t="n"/>
      <c r="J55" s="38" t="n"/>
      <c r="K55" s="38" t="n"/>
    </row>
    <row r="56" ht="15" customHeight="1" s="24">
      <c r="A56" s="38" t="n"/>
      <c r="B56" s="38" t="n"/>
      <c r="C56" s="38" t="n"/>
      <c r="D56" s="44" t="n"/>
      <c r="E56" s="44" t="n"/>
      <c r="F56" s="38" t="n"/>
      <c r="G56" s="38" t="n"/>
      <c r="H56" s="38" t="n"/>
      <c r="I56" s="38" t="n"/>
      <c r="J56" s="38" t="n"/>
      <c r="K56" s="38" t="n"/>
    </row>
    <row r="57" ht="15" customHeight="1" s="24">
      <c r="A57" s="38" t="n"/>
      <c r="B57" s="38" t="n"/>
      <c r="C57" s="38" t="n"/>
      <c r="D57" s="44" t="n"/>
      <c r="E57" s="44" t="n"/>
      <c r="F57" s="38" t="n"/>
      <c r="G57" s="38" t="n"/>
      <c r="H57" s="38" t="n"/>
      <c r="I57" s="38" t="n"/>
      <c r="J57" s="38" t="n"/>
      <c r="K57" s="38" t="n"/>
    </row>
    <row r="58" ht="15" customHeight="1" s="24">
      <c r="A58" s="38" t="n"/>
      <c r="B58" s="38" t="n"/>
      <c r="C58" s="38" t="n"/>
      <c r="D58" s="44" t="n"/>
      <c r="E58" s="44" t="n"/>
      <c r="F58" s="38" t="n"/>
      <c r="G58" s="38" t="n"/>
      <c r="H58" s="38" t="n"/>
      <c r="I58" s="38" t="n"/>
      <c r="J58" s="38" t="n"/>
      <c r="K58" s="38" t="n"/>
    </row>
    <row r="59" ht="15" customHeight="1" s="24">
      <c r="A59" s="38" t="n"/>
      <c r="B59" s="38" t="n"/>
      <c r="C59" s="38" t="n"/>
      <c r="D59" s="44" t="n"/>
      <c r="E59" s="44" t="n"/>
      <c r="F59" s="38" t="n"/>
      <c r="G59" s="38" t="n"/>
      <c r="H59" s="38" t="n"/>
      <c r="I59" s="38" t="n"/>
      <c r="J59" s="38" t="n"/>
      <c r="K59" s="38" t="n"/>
    </row>
    <row r="60" ht="15" customHeight="1" s="24">
      <c r="A60" s="38" t="n"/>
      <c r="B60" s="38" t="n"/>
      <c r="C60" s="38" t="n"/>
      <c r="D60" s="44" t="n"/>
      <c r="E60" s="44" t="n"/>
      <c r="F60" s="38" t="n"/>
      <c r="G60" s="38" t="n"/>
      <c r="H60" s="38" t="n"/>
      <c r="I60" s="38" t="n"/>
      <c r="J60" s="38" t="n"/>
      <c r="K60" s="38" t="n"/>
    </row>
    <row r="61" ht="15" customHeight="1" s="24">
      <c r="A61" s="38" t="n"/>
      <c r="B61" s="38" t="n"/>
      <c r="C61" s="38" t="n"/>
      <c r="D61" s="44" t="n"/>
      <c r="E61" s="44" t="n"/>
      <c r="F61" s="38" t="n"/>
      <c r="G61" s="38" t="n"/>
      <c r="H61" s="38" t="n"/>
      <c r="I61" s="38" t="n"/>
      <c r="J61" s="38" t="n"/>
      <c r="K61" s="38" t="n"/>
    </row>
    <row r="62" ht="15" customHeight="1" s="24">
      <c r="A62" s="38" t="n"/>
      <c r="B62" s="38" t="n"/>
      <c r="C62" s="38" t="n"/>
      <c r="D62" s="44" t="n"/>
      <c r="E62" s="44" t="n"/>
      <c r="F62" s="38" t="n"/>
      <c r="G62" s="38" t="n"/>
      <c r="H62" s="38" t="n"/>
      <c r="I62" s="38" t="n"/>
      <c r="J62" s="38" t="n"/>
      <c r="K62" s="38" t="n"/>
    </row>
    <row r="63" ht="15" customHeight="1" s="24">
      <c r="A63" s="38" t="n"/>
      <c r="B63" s="38" t="n"/>
      <c r="C63" s="38" t="n"/>
      <c r="D63" s="44" t="n"/>
      <c r="E63" s="44" t="n"/>
      <c r="F63" s="38" t="n"/>
      <c r="G63" s="38" t="n"/>
      <c r="H63" s="38" t="n"/>
      <c r="I63" s="38" t="n"/>
      <c r="J63" s="38" t="n"/>
      <c r="K63" s="38" t="n"/>
    </row>
    <row r="64" ht="15" customHeight="1" s="24">
      <c r="A64" s="38" t="n"/>
      <c r="B64" s="38" t="n"/>
      <c r="C64" s="38" t="n"/>
      <c r="D64" s="44" t="n"/>
      <c r="E64" s="44" t="n"/>
      <c r="F64" s="38" t="n"/>
      <c r="G64" s="38" t="n"/>
      <c r="H64" s="38" t="n"/>
      <c r="I64" s="38" t="n"/>
      <c r="J64" s="38" t="n"/>
      <c r="K64" s="38" t="n"/>
    </row>
    <row r="65" ht="15" customHeight="1" s="24">
      <c r="A65" s="38" t="n"/>
      <c r="B65" s="38" t="n"/>
      <c r="C65" s="38" t="n"/>
      <c r="D65" s="44" t="n"/>
      <c r="E65" s="44" t="n"/>
      <c r="F65" s="38" t="n"/>
      <c r="G65" s="38" t="n"/>
      <c r="H65" s="38" t="n"/>
      <c r="I65" s="38" t="n"/>
      <c r="J65" s="38" t="n"/>
      <c r="K65" s="38" t="n"/>
    </row>
    <row r="66" ht="15" customHeight="1" s="24">
      <c r="A66" s="38" t="n"/>
      <c r="B66" s="38" t="n"/>
      <c r="C66" s="38" t="n"/>
      <c r="D66" s="44" t="n"/>
      <c r="E66" s="44" t="n"/>
      <c r="F66" s="38" t="n"/>
      <c r="G66" s="38" t="n"/>
      <c r="H66" s="38" t="n"/>
      <c r="I66" s="38" t="n"/>
      <c r="J66" s="38" t="n"/>
      <c r="K66" s="38" t="n"/>
    </row>
    <row r="67" ht="15" customHeight="1" s="24">
      <c r="A67" s="38" t="n"/>
      <c r="B67" s="38" t="n"/>
      <c r="C67" s="38" t="n"/>
      <c r="D67" s="44" t="n"/>
      <c r="E67" s="44" t="n"/>
      <c r="F67" s="38" t="n"/>
      <c r="G67" s="38" t="n"/>
      <c r="H67" s="38" t="n"/>
      <c r="I67" s="38" t="n"/>
      <c r="J67" s="38" t="n"/>
      <c r="K67" s="38" t="n"/>
    </row>
    <row r="68" ht="15" customHeight="1" s="24">
      <c r="A68" s="38" t="n"/>
      <c r="B68" s="38" t="n"/>
      <c r="C68" s="38" t="n"/>
      <c r="D68" s="44" t="n"/>
      <c r="E68" s="44" t="n"/>
      <c r="F68" s="38" t="n"/>
      <c r="G68" s="38" t="n"/>
      <c r="H68" s="38" t="n"/>
      <c r="I68" s="38" t="n"/>
      <c r="J68" s="38" t="n"/>
      <c r="K68" s="38" t="n"/>
    </row>
    <row r="69" ht="15" customHeight="1" s="24">
      <c r="A69" s="38" t="n"/>
      <c r="B69" s="38" t="n"/>
      <c r="C69" s="38" t="n"/>
      <c r="D69" s="44" t="n"/>
      <c r="E69" s="44" t="n"/>
      <c r="F69" s="38" t="n"/>
      <c r="G69" s="38" t="n"/>
      <c r="H69" s="38" t="n"/>
      <c r="I69" s="38" t="n"/>
      <c r="J69" s="38" t="n"/>
      <c r="K69" s="38" t="n"/>
    </row>
    <row r="70" ht="15" customHeight="1" s="24">
      <c r="A70" s="38" t="n"/>
      <c r="B70" s="38" t="n"/>
      <c r="C70" s="38" t="n"/>
      <c r="D70" s="44" t="n"/>
      <c r="E70" s="44" t="n"/>
      <c r="F70" s="38" t="n"/>
      <c r="G70" s="38" t="n"/>
      <c r="H70" s="38" t="n"/>
      <c r="I70" s="38" t="n"/>
      <c r="J70" s="38" t="n"/>
      <c r="K70" s="38" t="n"/>
    </row>
    <row r="71" ht="15" customHeight="1" s="24">
      <c r="A71" s="38" t="n"/>
      <c r="B71" s="38" t="n"/>
      <c r="C71" s="38" t="n"/>
      <c r="D71" s="44" t="n"/>
      <c r="E71" s="44" t="n"/>
      <c r="F71" s="38" t="n"/>
      <c r="G71" s="38" t="n"/>
      <c r="H71" s="38" t="n"/>
      <c r="I71" s="38" t="n"/>
      <c r="J71" s="38" t="n"/>
      <c r="K71" s="38" t="n"/>
    </row>
    <row r="72" ht="15" customHeight="1" s="24">
      <c r="A72" s="38" t="n"/>
      <c r="B72" s="38" t="n"/>
      <c r="C72" s="38" t="n"/>
      <c r="D72" s="44" t="n"/>
      <c r="E72" s="44" t="n"/>
      <c r="F72" s="38" t="n"/>
      <c r="G72" s="38" t="n"/>
      <c r="H72" s="38" t="n"/>
      <c r="I72" s="38" t="n"/>
      <c r="J72" s="38" t="n"/>
      <c r="K72" s="38" t="n"/>
    </row>
    <row r="73" ht="15" customHeight="1" s="24">
      <c r="A73" s="38" t="n"/>
      <c r="B73" s="38" t="n"/>
      <c r="C73" s="38" t="n"/>
      <c r="D73" s="44" t="n"/>
      <c r="E73" s="44" t="n"/>
      <c r="F73" s="38" t="n"/>
      <c r="G73" s="38" t="n"/>
      <c r="H73" s="38" t="n"/>
      <c r="I73" s="38" t="n"/>
      <c r="J73" s="38" t="n"/>
      <c r="K73" s="38" t="n"/>
    </row>
    <row r="74" ht="15" customHeight="1" s="24">
      <c r="A74" s="38" t="n"/>
      <c r="B74" s="38" t="n"/>
      <c r="C74" s="38" t="n"/>
      <c r="D74" s="44" t="n"/>
      <c r="E74" s="44" t="n"/>
      <c r="F74" s="38" t="n"/>
      <c r="G74" s="38" t="n"/>
      <c r="H74" s="38" t="n"/>
      <c r="I74" s="38" t="n"/>
      <c r="J74" s="38" t="n"/>
      <c r="K74" s="38" t="n"/>
    </row>
    <row r="75" ht="15" customHeight="1" s="24">
      <c r="A75" s="38" t="n"/>
      <c r="B75" s="38" t="n"/>
      <c r="C75" s="38" t="n"/>
      <c r="D75" s="44" t="n"/>
      <c r="E75" s="44" t="n"/>
      <c r="F75" s="38" t="n"/>
      <c r="G75" s="38" t="n"/>
      <c r="H75" s="38" t="n"/>
      <c r="I75" s="38" t="n"/>
      <c r="J75" s="38" t="n"/>
      <c r="K75" s="38" t="n"/>
    </row>
    <row r="76" ht="15" customHeight="1" s="24">
      <c r="A76" s="38" t="n"/>
      <c r="B76" s="38" t="n"/>
      <c r="C76" s="38" t="n"/>
      <c r="D76" s="44" t="n"/>
      <c r="E76" s="44" t="n"/>
      <c r="F76" s="38" t="n"/>
      <c r="G76" s="38" t="n"/>
      <c r="H76" s="38" t="n"/>
      <c r="I76" s="38" t="n"/>
      <c r="J76" s="38" t="n"/>
      <c r="K76" s="38" t="n"/>
    </row>
    <row r="77" ht="15" customHeight="1" s="24">
      <c r="A77" s="38" t="n"/>
      <c r="B77" s="38" t="n"/>
      <c r="C77" s="38" t="n"/>
      <c r="D77" s="44" t="n"/>
      <c r="E77" s="44" t="n"/>
      <c r="F77" s="38" t="n"/>
      <c r="G77" s="38" t="n"/>
      <c r="H77" s="38" t="n"/>
      <c r="I77" s="38" t="n"/>
      <c r="J77" s="38" t="n"/>
      <c r="K77" s="38" t="n"/>
    </row>
    <row r="78" ht="15" customHeight="1" s="24">
      <c r="A78" s="38" t="n"/>
      <c r="B78" s="38" t="n"/>
      <c r="C78" s="38" t="n"/>
      <c r="D78" s="44" t="n"/>
      <c r="E78" s="44" t="n"/>
      <c r="F78" s="38" t="n"/>
      <c r="G78" s="38" t="n"/>
      <c r="H78" s="38" t="n"/>
      <c r="I78" s="38" t="n"/>
      <c r="J78" s="38" t="n"/>
      <c r="K78" s="38" t="n"/>
    </row>
    <row r="79" ht="15" customHeight="1" s="24">
      <c r="A79" s="38" t="n"/>
      <c r="B79" s="38" t="n"/>
      <c r="C79" s="38" t="n"/>
      <c r="D79" s="44" t="n"/>
      <c r="E79" s="44" t="n"/>
      <c r="F79" s="38" t="n"/>
      <c r="G79" s="38" t="n"/>
      <c r="H79" s="38" t="n"/>
      <c r="I79" s="38" t="n"/>
      <c r="J79" s="38" t="n"/>
      <c r="K79" s="38" t="n"/>
    </row>
    <row r="80" ht="15" customHeight="1" s="24">
      <c r="A80" s="38" t="n"/>
      <c r="B80" s="38" t="n"/>
      <c r="C80" s="38" t="n"/>
      <c r="D80" s="44" t="n"/>
      <c r="E80" s="44" t="n"/>
      <c r="F80" s="38" t="n"/>
      <c r="G80" s="38" t="n"/>
      <c r="H80" s="38" t="n"/>
      <c r="I80" s="38" t="n"/>
      <c r="J80" s="38" t="n"/>
      <c r="K80" s="38" t="n"/>
    </row>
    <row r="81" ht="15" customHeight="1" s="24">
      <c r="A81" s="38" t="n"/>
      <c r="B81" s="38" t="n"/>
      <c r="C81" s="38" t="n"/>
      <c r="D81" s="44" t="n"/>
      <c r="E81" s="44" t="n"/>
      <c r="F81" s="38" t="n"/>
      <c r="G81" s="38" t="n"/>
      <c r="H81" s="38" t="n"/>
      <c r="I81" s="38" t="n"/>
      <c r="J81" s="38" t="n"/>
      <c r="K81" s="38" t="n"/>
    </row>
    <row r="82" ht="15" customHeight="1" s="24">
      <c r="A82" s="38" t="n"/>
      <c r="B82" s="38" t="n"/>
      <c r="C82" s="38" t="n"/>
      <c r="D82" s="44" t="n"/>
      <c r="E82" s="44" t="n"/>
      <c r="F82" s="38" t="n"/>
      <c r="G82" s="38" t="n"/>
      <c r="H82" s="38" t="n"/>
      <c r="I82" s="38" t="n"/>
      <c r="J82" s="38" t="n"/>
      <c r="K82" s="38" t="n"/>
    </row>
    <row r="83" ht="15" customHeight="1" s="24">
      <c r="A83" s="38" t="n"/>
      <c r="B83" s="38" t="n"/>
      <c r="C83" s="38" t="n"/>
      <c r="D83" s="44" t="n"/>
      <c r="E83" s="44" t="n"/>
      <c r="F83" s="38" t="n"/>
      <c r="G83" s="38" t="n"/>
      <c r="H83" s="38" t="n"/>
      <c r="I83" s="38" t="n"/>
      <c r="J83" s="38" t="n"/>
      <c r="K83" s="38" t="n"/>
    </row>
    <row r="84" ht="15" customHeight="1" s="24">
      <c r="A84" s="38" t="n"/>
      <c r="B84" s="38" t="n"/>
      <c r="C84" s="38" t="n"/>
      <c r="D84" s="44" t="n"/>
      <c r="E84" s="44" t="n"/>
      <c r="F84" s="38" t="n"/>
      <c r="G84" s="38" t="n"/>
      <c r="H84" s="38" t="n"/>
      <c r="I84" s="38" t="n"/>
      <c r="J84" s="38" t="n"/>
      <c r="K84" s="38" t="n"/>
    </row>
    <row r="85" ht="15" customHeight="1" s="24">
      <c r="A85" s="38" t="n"/>
      <c r="B85" s="38" t="n"/>
      <c r="C85" s="38" t="n"/>
      <c r="D85" s="44" t="n"/>
      <c r="E85" s="44" t="n"/>
      <c r="F85" s="38" t="n"/>
      <c r="G85" s="38" t="n"/>
      <c r="H85" s="38" t="n"/>
      <c r="I85" s="38" t="n"/>
      <c r="J85" s="38" t="n"/>
      <c r="K85" s="38" t="n"/>
    </row>
    <row r="86" ht="15" customHeight="1" s="24">
      <c r="A86" s="38" t="n"/>
      <c r="B86" s="38" t="n"/>
      <c r="C86" s="38" t="n"/>
      <c r="D86" s="44" t="n"/>
      <c r="E86" s="44" t="n"/>
      <c r="F86" s="38" t="n"/>
      <c r="G86" s="38" t="n"/>
      <c r="H86" s="38" t="n"/>
      <c r="I86" s="38" t="n"/>
      <c r="J86" s="38" t="n"/>
      <c r="K86" s="38" t="n"/>
    </row>
    <row r="87" ht="15" customHeight="1" s="24">
      <c r="A87" s="38" t="n"/>
      <c r="B87" s="38" t="n"/>
      <c r="C87" s="38" t="n"/>
      <c r="D87" s="44" t="n"/>
      <c r="E87" s="44" t="n"/>
      <c r="F87" s="38" t="n"/>
      <c r="G87" s="38" t="n"/>
      <c r="H87" s="38" t="n"/>
      <c r="I87" s="38" t="n"/>
      <c r="J87" s="38" t="n"/>
      <c r="K87" s="38" t="n"/>
    </row>
    <row r="88" ht="15" customHeight="1" s="24">
      <c r="A88" s="38" t="n"/>
      <c r="B88" s="38" t="n"/>
      <c r="C88" s="38" t="n"/>
      <c r="D88" s="44" t="n"/>
      <c r="E88" s="44" t="n"/>
      <c r="F88" s="38" t="n"/>
      <c r="G88" s="38" t="n"/>
      <c r="H88" s="38" t="n"/>
      <c r="I88" s="38" t="n"/>
      <c r="J88" s="38" t="n"/>
      <c r="K88" s="38" t="n"/>
    </row>
    <row r="89" ht="15" customHeight="1" s="24">
      <c r="A89" s="38" t="n"/>
      <c r="B89" s="38" t="n"/>
      <c r="C89" s="38" t="n"/>
      <c r="D89" s="44" t="n"/>
      <c r="E89" s="44" t="n"/>
      <c r="F89" s="38" t="n"/>
      <c r="G89" s="38" t="n"/>
      <c r="H89" s="38" t="n"/>
      <c r="I89" s="38" t="n"/>
      <c r="J89" s="38" t="n"/>
      <c r="K89" s="38" t="n"/>
    </row>
    <row r="90" ht="15" customHeight="1" s="24">
      <c r="A90" s="38" t="n"/>
      <c r="B90" s="38" t="n"/>
      <c r="C90" s="38" t="n"/>
      <c r="D90" s="44" t="n"/>
      <c r="E90" s="44" t="n"/>
      <c r="F90" s="38" t="n"/>
      <c r="G90" s="38" t="n"/>
      <c r="H90" s="38" t="n"/>
      <c r="I90" s="38" t="n"/>
      <c r="J90" s="38" t="n"/>
      <c r="K90" s="38" t="n"/>
    </row>
    <row r="91" ht="15" customHeight="1" s="24">
      <c r="A91" s="38" t="n"/>
      <c r="B91" s="38" t="n"/>
      <c r="C91" s="38" t="n"/>
      <c r="D91" s="44" t="n"/>
      <c r="E91" s="44" t="n"/>
      <c r="F91" s="38" t="n"/>
      <c r="G91" s="38" t="n"/>
      <c r="H91" s="38" t="n"/>
      <c r="I91" s="38" t="n"/>
      <c r="J91" s="38" t="n"/>
      <c r="K91" s="38" t="n"/>
    </row>
    <row r="92" ht="15" customHeight="1" s="24">
      <c r="A92" s="38" t="n"/>
      <c r="B92" s="38" t="n"/>
      <c r="C92" s="38" t="n"/>
      <c r="D92" s="44" t="n"/>
      <c r="E92" s="44" t="n"/>
      <c r="F92" s="38" t="n"/>
      <c r="G92" s="38" t="n"/>
      <c r="H92" s="38" t="n"/>
      <c r="I92" s="38" t="n"/>
      <c r="J92" s="38" t="n"/>
      <c r="K92" s="38" t="n"/>
    </row>
    <row r="93" ht="15" customHeight="1" s="24">
      <c r="A93" s="38" t="n"/>
      <c r="B93" s="38" t="n"/>
      <c r="C93" s="38" t="n"/>
      <c r="D93" s="44" t="n"/>
      <c r="E93" s="44" t="n"/>
      <c r="F93" s="38" t="n"/>
      <c r="G93" s="38" t="n"/>
      <c r="H93" s="38" t="n"/>
      <c r="I93" s="38" t="n"/>
      <c r="J93" s="38" t="n"/>
      <c r="K93" s="38" t="n"/>
    </row>
    <row r="94" ht="15" customHeight="1" s="24">
      <c r="A94" s="38" t="n"/>
      <c r="B94" s="38" t="n"/>
      <c r="C94" s="38" t="n"/>
      <c r="D94" s="44" t="n"/>
      <c r="E94" s="44" t="n"/>
      <c r="F94" s="38" t="n"/>
      <c r="G94" s="38" t="n"/>
      <c r="H94" s="38" t="n"/>
      <c r="I94" s="38" t="n"/>
      <c r="J94" s="38" t="n"/>
      <c r="K94" s="38" t="n"/>
    </row>
    <row r="95" ht="15" customHeight="1" s="24">
      <c r="A95" s="38" t="n"/>
      <c r="B95" s="38" t="n"/>
      <c r="C95" s="38" t="n"/>
      <c r="D95" s="44" t="n"/>
      <c r="E95" s="44" t="n"/>
      <c r="F95" s="38" t="n"/>
      <c r="G95" s="38" t="n"/>
      <c r="H95" s="38" t="n"/>
      <c r="I95" s="38" t="n"/>
      <c r="J95" s="38" t="n"/>
      <c r="K95" s="38" t="n"/>
    </row>
    <row r="96" ht="15" customHeight="1" s="24">
      <c r="A96" s="38" t="n"/>
      <c r="B96" s="38" t="n"/>
      <c r="C96" s="38" t="n"/>
      <c r="D96" s="44" t="n"/>
      <c r="E96" s="44" t="n"/>
      <c r="F96" s="38" t="n"/>
      <c r="G96" s="38" t="n"/>
      <c r="H96" s="38" t="n"/>
      <c r="I96" s="38" t="n"/>
      <c r="J96" s="38" t="n"/>
      <c r="K96" s="38" t="n"/>
    </row>
    <row r="97" ht="15" customHeight="1" s="24">
      <c r="A97" s="38" t="n"/>
      <c r="B97" s="38" t="n"/>
      <c r="C97" s="38" t="n"/>
      <c r="D97" s="44" t="n"/>
      <c r="E97" s="44" t="n"/>
      <c r="F97" s="38" t="n"/>
      <c r="G97" s="38" t="n"/>
      <c r="H97" s="38" t="n"/>
      <c r="I97" s="38" t="n"/>
      <c r="J97" s="38" t="n"/>
      <c r="K97" s="38" t="n"/>
    </row>
    <row r="98" ht="15" customHeight="1" s="24">
      <c r="A98" s="38" t="n"/>
      <c r="B98" s="38" t="n"/>
      <c r="C98" s="38" t="n"/>
      <c r="D98" s="44" t="n"/>
      <c r="E98" s="44" t="n"/>
      <c r="F98" s="38" t="n"/>
      <c r="G98" s="38" t="n"/>
      <c r="H98" s="38" t="n"/>
      <c r="I98" s="38" t="n"/>
      <c r="J98" s="38" t="n"/>
      <c r="K98" s="38" t="n"/>
    </row>
    <row r="99" ht="15" customHeight="1" s="24">
      <c r="A99" s="38" t="n"/>
      <c r="B99" s="38" t="n"/>
      <c r="C99" s="38" t="n"/>
      <c r="D99" s="44" t="n"/>
      <c r="E99" s="44" t="n"/>
      <c r="F99" s="38" t="n"/>
      <c r="G99" s="38" t="n"/>
      <c r="H99" s="38" t="n"/>
      <c r="I99" s="38" t="n"/>
      <c r="J99" s="38" t="n"/>
      <c r="K99" s="38" t="n"/>
    </row>
    <row r="100" ht="15" customHeight="1" s="24">
      <c r="A100" s="38" t="n"/>
      <c r="B100" s="38" t="n"/>
      <c r="C100" s="38" t="n"/>
      <c r="D100" s="44" t="n"/>
      <c r="E100" s="44" t="n"/>
      <c r="F100" s="38" t="n"/>
      <c r="G100" s="38" t="n"/>
      <c r="H100" s="38" t="n"/>
      <c r="I100" s="38" t="n"/>
      <c r="J100" s="38" t="n"/>
      <c r="K100" s="38" t="n"/>
    </row>
    <row r="101" ht="15" customHeight="1" s="24">
      <c r="A101" s="38" t="n"/>
      <c r="B101" s="38" t="n"/>
      <c r="C101" s="38" t="n"/>
      <c r="D101" s="44" t="n"/>
      <c r="E101" s="44" t="n"/>
      <c r="F101" s="38" t="n"/>
      <c r="G101" s="38" t="n"/>
      <c r="H101" s="38" t="n"/>
      <c r="I101" s="38" t="n"/>
      <c r="J101" s="38" t="n"/>
      <c r="K101" s="38" t="n"/>
    </row>
    <row r="102" ht="15" customHeight="1" s="24">
      <c r="A102" s="38" t="n"/>
      <c r="B102" s="38" t="n"/>
      <c r="C102" s="38" t="n"/>
      <c r="D102" s="44" t="n"/>
      <c r="E102" s="44" t="n"/>
      <c r="F102" s="38" t="n"/>
      <c r="G102" s="38" t="n"/>
      <c r="H102" s="38" t="n"/>
      <c r="I102" s="38" t="n"/>
      <c r="J102" s="38" t="n"/>
      <c r="K102" s="38" t="n"/>
    </row>
    <row r="103" ht="15" customHeight="1" s="24">
      <c r="A103" s="38" t="n"/>
      <c r="B103" s="38" t="n"/>
      <c r="C103" s="38" t="n"/>
      <c r="D103" s="44" t="n"/>
      <c r="E103" s="44" t="n"/>
      <c r="F103" s="38" t="n"/>
      <c r="G103" s="38" t="n"/>
      <c r="H103" s="38" t="n"/>
      <c r="I103" s="38" t="n"/>
      <c r="J103" s="38" t="n"/>
      <c r="K103" s="38" t="n"/>
    </row>
    <row r="104" ht="15" customHeight="1" s="24">
      <c r="A104" s="38" t="n"/>
      <c r="B104" s="38" t="n"/>
      <c r="C104" s="38" t="n"/>
      <c r="D104" s="44" t="n"/>
      <c r="E104" s="44" t="n"/>
      <c r="F104" s="38" t="n"/>
      <c r="G104" s="38" t="n"/>
      <c r="H104" s="38" t="n"/>
      <c r="I104" s="38" t="n"/>
      <c r="J104" s="38" t="n"/>
      <c r="K104" s="38" t="n"/>
    </row>
    <row r="105" ht="15" customHeight="1" s="24">
      <c r="A105" s="38" t="n"/>
      <c r="B105" s="38" t="n"/>
      <c r="C105" s="38" t="n"/>
      <c r="D105" s="44" t="n"/>
      <c r="E105" s="44" t="n"/>
      <c r="F105" s="38" t="n"/>
      <c r="G105" s="38" t="n"/>
      <c r="H105" s="38" t="n"/>
      <c r="I105" s="38" t="n"/>
      <c r="J105" s="38" t="n"/>
      <c r="K105" s="38" t="n"/>
    </row>
    <row r="106" ht="15" customHeight="1" s="24">
      <c r="A106" s="38" t="n"/>
      <c r="B106" s="38" t="n"/>
      <c r="C106" s="38" t="n"/>
      <c r="D106" s="44" t="n"/>
      <c r="E106" s="44" t="n"/>
      <c r="F106" s="38" t="n"/>
      <c r="G106" s="38" t="n"/>
      <c r="H106" s="38" t="n"/>
      <c r="I106" s="38" t="n"/>
      <c r="J106" s="38" t="n"/>
      <c r="K106" s="38" t="n"/>
    </row>
    <row r="107" ht="15" customHeight="1" s="24">
      <c r="A107" s="38" t="n"/>
      <c r="B107" s="38" t="n"/>
      <c r="C107" s="38" t="n"/>
      <c r="D107" s="44" t="n"/>
      <c r="E107" s="44" t="n"/>
      <c r="F107" s="38" t="n"/>
      <c r="G107" s="38" t="n"/>
      <c r="H107" s="38" t="n"/>
      <c r="I107" s="38" t="n"/>
      <c r="J107" s="38" t="n"/>
      <c r="K107" s="38" t="n"/>
    </row>
    <row r="108" ht="15" customHeight="1" s="24">
      <c r="A108" s="38" t="n"/>
      <c r="B108" s="38" t="n"/>
      <c r="C108" s="38" t="n"/>
      <c r="D108" s="44" t="n"/>
      <c r="E108" s="44" t="n"/>
      <c r="F108" s="38" t="n"/>
      <c r="G108" s="38" t="n"/>
      <c r="H108" s="38" t="n"/>
      <c r="I108" s="38" t="n"/>
      <c r="J108" s="38" t="n"/>
      <c r="K108" s="38" t="n"/>
    </row>
    <row r="109" ht="15" customHeight="1" s="24">
      <c r="A109" s="38" t="n"/>
      <c r="B109" s="38" t="n"/>
      <c r="C109" s="38" t="n"/>
      <c r="D109" s="44" t="n"/>
      <c r="E109" s="44" t="n"/>
      <c r="F109" s="38" t="n"/>
      <c r="G109" s="38" t="n"/>
      <c r="H109" s="38" t="n"/>
      <c r="I109" s="38" t="n"/>
      <c r="J109" s="38" t="n"/>
      <c r="K109" s="38" t="n"/>
    </row>
    <row r="110" ht="15" customHeight="1" s="24">
      <c r="A110" s="38" t="n"/>
      <c r="B110" s="38" t="n"/>
      <c r="C110" s="38" t="n"/>
      <c r="D110" s="44" t="n"/>
      <c r="E110" s="44" t="n"/>
      <c r="F110" s="38" t="n"/>
      <c r="G110" s="38" t="n"/>
      <c r="H110" s="38" t="n"/>
      <c r="I110" s="38" t="n"/>
      <c r="J110" s="38" t="n"/>
      <c r="K110" s="38" t="n"/>
    </row>
    <row r="111" ht="15" customHeight="1" s="24">
      <c r="A111" s="38" t="n"/>
      <c r="B111" s="38" t="n"/>
      <c r="C111" s="38" t="n"/>
      <c r="D111" s="44" t="n"/>
      <c r="E111" s="44" t="n"/>
      <c r="F111" s="38" t="n"/>
      <c r="G111" s="38" t="n"/>
      <c r="H111" s="38" t="n"/>
      <c r="I111" s="38" t="n"/>
      <c r="J111" s="38" t="n"/>
      <c r="K111" s="38" t="n"/>
    </row>
    <row r="112" ht="15" customHeight="1" s="24">
      <c r="A112" s="38" t="n"/>
      <c r="B112" s="38" t="n"/>
      <c r="C112" s="38" t="n"/>
      <c r="D112" s="44" t="n"/>
      <c r="E112" s="44" t="n"/>
      <c r="F112" s="38" t="n"/>
      <c r="G112" s="38" t="n"/>
      <c r="H112" s="38" t="n"/>
      <c r="I112" s="38" t="n"/>
      <c r="J112" s="38" t="n"/>
      <c r="K112" s="38" t="n"/>
    </row>
    <row r="113" ht="15" customHeight="1" s="24">
      <c r="A113" s="38" t="n"/>
      <c r="B113" s="38" t="n"/>
      <c r="C113" s="38" t="n"/>
      <c r="D113" s="44" t="n"/>
      <c r="E113" s="44" t="n"/>
      <c r="F113" s="38" t="n"/>
      <c r="G113" s="38" t="n"/>
      <c r="H113" s="38" t="n"/>
      <c r="I113" s="38" t="n"/>
      <c r="J113" s="38" t="n"/>
      <c r="K113" s="38" t="n"/>
    </row>
    <row r="114" ht="15" customHeight="1" s="24">
      <c r="A114" s="38" t="n"/>
      <c r="B114" s="38" t="n"/>
      <c r="C114" s="38" t="n"/>
      <c r="D114" s="44" t="n"/>
      <c r="E114" s="44" t="n"/>
      <c r="F114" s="38" t="n"/>
      <c r="G114" s="38" t="n"/>
      <c r="H114" s="38" t="n"/>
      <c r="I114" s="38" t="n"/>
      <c r="J114" s="38" t="n"/>
      <c r="K114" s="38" t="n"/>
    </row>
    <row r="115" ht="15" customHeight="1" s="24">
      <c r="A115" s="38" t="n"/>
      <c r="B115" s="38" t="n"/>
      <c r="C115" s="38" t="n"/>
      <c r="D115" s="44" t="n"/>
      <c r="E115" s="44" t="n"/>
      <c r="F115" s="38" t="n"/>
      <c r="G115" s="38" t="n"/>
      <c r="H115" s="38" t="n"/>
      <c r="I115" s="38" t="n"/>
      <c r="J115" s="38" t="n"/>
      <c r="K115" s="38" t="n"/>
    </row>
    <row r="116" ht="15" customHeight="1" s="24">
      <c r="A116" s="38" t="n"/>
      <c r="B116" s="38" t="n"/>
      <c r="C116" s="38" t="n"/>
      <c r="D116" s="44" t="n"/>
      <c r="E116" s="44" t="n"/>
      <c r="F116" s="38" t="n"/>
      <c r="G116" s="38" t="n"/>
      <c r="H116" s="38" t="n"/>
      <c r="I116" s="38" t="n"/>
      <c r="J116" s="38" t="n"/>
      <c r="K116" s="38" t="n"/>
    </row>
    <row r="117" ht="15" customHeight="1" s="24">
      <c r="A117" s="38" t="n"/>
      <c r="B117" s="38" t="n"/>
      <c r="C117" s="38" t="n"/>
      <c r="D117" s="44" t="n"/>
      <c r="E117" s="44" t="n"/>
      <c r="F117" s="38" t="n"/>
      <c r="G117" s="38" t="n"/>
      <c r="H117" s="38" t="n"/>
      <c r="I117" s="38" t="n"/>
      <c r="J117" s="38" t="n"/>
      <c r="K117" s="38" t="n"/>
    </row>
    <row r="118" ht="15" customHeight="1" s="24">
      <c r="A118" s="38" t="n"/>
      <c r="B118" s="38" t="n"/>
      <c r="C118" s="38" t="n"/>
      <c r="D118" s="44" t="n"/>
      <c r="E118" s="44" t="n"/>
      <c r="F118" s="38" t="n"/>
      <c r="G118" s="38" t="n"/>
      <c r="H118" s="38" t="n"/>
      <c r="I118" s="38" t="n"/>
      <c r="J118" s="38" t="n"/>
      <c r="K118" s="38" t="n"/>
    </row>
    <row r="119" ht="15" customHeight="1" s="24">
      <c r="A119" s="38" t="n"/>
      <c r="B119" s="38" t="n"/>
      <c r="C119" s="38" t="n"/>
      <c r="D119" s="44" t="n"/>
      <c r="E119" s="44" t="n"/>
      <c r="F119" s="38" t="n"/>
      <c r="G119" s="38" t="n"/>
      <c r="H119" s="38" t="n"/>
      <c r="I119" s="38" t="n"/>
      <c r="J119" s="38" t="n"/>
      <c r="K119" s="38" t="n"/>
    </row>
    <row r="120" ht="15" customHeight="1" s="24">
      <c r="A120" s="38" t="n"/>
      <c r="B120" s="38" t="n"/>
      <c r="C120" s="38" t="n"/>
      <c r="D120" s="44" t="n"/>
      <c r="E120" s="44" t="n"/>
      <c r="F120" s="38" t="n"/>
      <c r="G120" s="38" t="n"/>
      <c r="H120" s="38" t="n"/>
      <c r="I120" s="38" t="n"/>
      <c r="J120" s="38" t="n"/>
      <c r="K120" s="38" t="n"/>
    </row>
    <row r="121" ht="15" customHeight="1" s="24">
      <c r="A121" s="38" t="n"/>
      <c r="B121" s="38" t="n"/>
      <c r="C121" s="38" t="n"/>
      <c r="D121" s="44" t="n"/>
      <c r="E121" s="44" t="n"/>
      <c r="F121" s="38" t="n"/>
      <c r="G121" s="38" t="n"/>
      <c r="H121" s="38" t="n"/>
      <c r="I121" s="38" t="n"/>
      <c r="J121" s="38" t="n"/>
      <c r="K121" s="38" t="n"/>
    </row>
    <row r="122" ht="15" customHeight="1" s="24">
      <c r="A122" s="38" t="n"/>
      <c r="B122" s="38" t="n"/>
      <c r="C122" s="38" t="n"/>
      <c r="D122" s="44" t="n"/>
      <c r="E122" s="44" t="n"/>
      <c r="F122" s="38" t="n"/>
      <c r="G122" s="38" t="n"/>
      <c r="H122" s="38" t="n"/>
      <c r="I122" s="38" t="n"/>
      <c r="J122" s="38" t="n"/>
      <c r="K122" s="38" t="n"/>
    </row>
    <row r="123" ht="15" customHeight="1" s="24">
      <c r="A123" s="38" t="n"/>
      <c r="B123" s="38" t="n"/>
      <c r="C123" s="38" t="n"/>
      <c r="D123" s="44" t="n"/>
      <c r="E123" s="44" t="n"/>
      <c r="F123" s="38" t="n"/>
      <c r="G123" s="38" t="n"/>
      <c r="H123" s="38" t="n"/>
      <c r="I123" s="38" t="n"/>
      <c r="J123" s="38" t="n"/>
      <c r="K123" s="38" t="n"/>
    </row>
    <row r="124" ht="15" customHeight="1" s="24">
      <c r="A124" s="38" t="n"/>
      <c r="B124" s="38" t="n"/>
      <c r="C124" s="38" t="n"/>
      <c r="D124" s="44" t="n"/>
      <c r="E124" s="44" t="n"/>
      <c r="F124" s="38" t="n"/>
      <c r="G124" s="38" t="n"/>
      <c r="H124" s="38" t="n"/>
      <c r="I124" s="38" t="n"/>
      <c r="J124" s="38" t="n"/>
      <c r="K124" s="38" t="n"/>
    </row>
    <row r="125" ht="15" customHeight="1" s="24">
      <c r="A125" s="38" t="n"/>
      <c r="B125" s="38" t="n"/>
      <c r="C125" s="38" t="n"/>
      <c r="D125" s="44" t="n"/>
      <c r="E125" s="44" t="n"/>
      <c r="F125" s="38" t="n"/>
      <c r="G125" s="38" t="n"/>
      <c r="H125" s="38" t="n"/>
      <c r="I125" s="38" t="n"/>
      <c r="J125" s="38" t="n"/>
      <c r="K125" s="38" t="n"/>
    </row>
    <row r="126" ht="15" customHeight="1" s="24">
      <c r="A126" s="38" t="n"/>
      <c r="B126" s="38" t="n"/>
      <c r="C126" s="38" t="n"/>
      <c r="D126" s="44" t="n"/>
      <c r="E126" s="44" t="n"/>
      <c r="F126" s="38" t="n"/>
      <c r="G126" s="38" t="n"/>
      <c r="H126" s="38" t="n"/>
      <c r="I126" s="38" t="n"/>
      <c r="J126" s="38" t="n"/>
      <c r="K126" s="38" t="n"/>
    </row>
    <row r="127" ht="15" customHeight="1" s="24">
      <c r="A127" s="38" t="n"/>
      <c r="B127" s="38" t="n"/>
      <c r="C127" s="38" t="n"/>
      <c r="D127" s="44" t="n"/>
      <c r="E127" s="44" t="n"/>
      <c r="F127" s="38" t="n"/>
      <c r="G127" s="38" t="n"/>
      <c r="H127" s="38" t="n"/>
      <c r="I127" s="38" t="n"/>
      <c r="J127" s="38" t="n"/>
      <c r="K127" s="38" t="n"/>
    </row>
    <row r="128" ht="15" customHeight="1" s="24">
      <c r="A128" s="38" t="n"/>
      <c r="B128" s="38" t="n"/>
      <c r="C128" s="38" t="n"/>
      <c r="D128" s="44" t="n"/>
      <c r="E128" s="44" t="n"/>
      <c r="F128" s="38" t="n"/>
      <c r="G128" s="38" t="n"/>
      <c r="H128" s="38" t="n"/>
      <c r="I128" s="38" t="n"/>
      <c r="J128" s="38" t="n"/>
      <c r="K128" s="38" t="n"/>
    </row>
    <row r="129" ht="15" customHeight="1" s="24">
      <c r="A129" s="38" t="n"/>
      <c r="B129" s="38" t="n"/>
      <c r="C129" s="38" t="n"/>
      <c r="D129" s="44" t="n"/>
      <c r="E129" s="44" t="n"/>
      <c r="F129" s="38" t="n"/>
      <c r="G129" s="38" t="n"/>
      <c r="H129" s="38" t="n"/>
      <c r="I129" s="38" t="n"/>
      <c r="J129" s="38" t="n"/>
      <c r="K129" s="38" t="n"/>
    </row>
    <row r="130" ht="15" customHeight="1" s="24">
      <c r="A130" s="38" t="n"/>
      <c r="B130" s="38" t="n"/>
      <c r="C130" s="38" t="n"/>
      <c r="D130" s="44" t="n"/>
      <c r="E130" s="44" t="n"/>
      <c r="F130" s="38" t="n"/>
      <c r="G130" s="38" t="n"/>
      <c r="H130" s="38" t="n"/>
      <c r="I130" s="38" t="n"/>
      <c r="J130" s="38" t="n"/>
      <c r="K130" s="38" t="n"/>
    </row>
    <row r="131" ht="15" customHeight="1" s="24">
      <c r="A131" s="38" t="n"/>
      <c r="B131" s="38" t="n"/>
      <c r="C131" s="38" t="n"/>
      <c r="D131" s="44" t="n"/>
      <c r="E131" s="44" t="n"/>
      <c r="F131" s="38" t="n"/>
      <c r="G131" s="38" t="n"/>
      <c r="H131" s="38" t="n"/>
      <c r="I131" s="38" t="n"/>
      <c r="J131" s="38" t="n"/>
      <c r="K131" s="38" t="n"/>
    </row>
    <row r="132" ht="15" customHeight="1" s="24">
      <c r="A132" s="38" t="n"/>
      <c r="B132" s="38" t="n"/>
      <c r="C132" s="38" t="n"/>
      <c r="D132" s="44" t="n"/>
      <c r="E132" s="44" t="n"/>
      <c r="F132" s="38" t="n"/>
      <c r="G132" s="38" t="n"/>
      <c r="H132" s="38" t="n"/>
      <c r="I132" s="38" t="n"/>
      <c r="J132" s="38" t="n"/>
      <c r="K132" s="38" t="n"/>
    </row>
    <row r="133" ht="15" customHeight="1" s="24">
      <c r="A133" s="38" t="n"/>
      <c r="B133" s="38" t="n"/>
      <c r="C133" s="38" t="n"/>
      <c r="D133" s="44" t="n"/>
      <c r="E133" s="44" t="n"/>
      <c r="F133" s="38" t="n"/>
      <c r="G133" s="38" t="n"/>
      <c r="H133" s="38" t="n"/>
      <c r="I133" s="38" t="n"/>
      <c r="J133" s="38" t="n"/>
      <c r="K133" s="38" t="n"/>
    </row>
    <row r="134" ht="15" customHeight="1" s="24">
      <c r="A134" s="38" t="n"/>
      <c r="B134" s="38" t="n"/>
      <c r="C134" s="38" t="n"/>
      <c r="D134" s="44" t="n"/>
      <c r="E134" s="44" t="n"/>
      <c r="F134" s="38" t="n"/>
      <c r="G134" s="38" t="n"/>
      <c r="H134" s="38" t="n"/>
      <c r="I134" s="38" t="n"/>
      <c r="J134" s="38" t="n"/>
      <c r="K134" s="38" t="n"/>
    </row>
    <row r="135" ht="15" customHeight="1" s="24">
      <c r="A135" s="38" t="n"/>
      <c r="B135" s="38" t="n"/>
      <c r="C135" s="38" t="n"/>
      <c r="D135" s="44" t="n"/>
      <c r="E135" s="44" t="n"/>
      <c r="F135" s="38" t="n"/>
      <c r="G135" s="38" t="n"/>
      <c r="H135" s="38" t="n"/>
      <c r="I135" s="38" t="n"/>
      <c r="J135" s="38" t="n"/>
      <c r="K135" s="38" t="n"/>
    </row>
    <row r="136" ht="15" customHeight="1" s="24">
      <c r="A136" s="38" t="n"/>
      <c r="B136" s="38" t="n"/>
      <c r="C136" s="38" t="n"/>
      <c r="D136" s="44" t="n"/>
      <c r="E136" s="44" t="n"/>
      <c r="F136" s="38" t="n"/>
      <c r="G136" s="38" t="n"/>
      <c r="H136" s="38" t="n"/>
      <c r="I136" s="38" t="n"/>
      <c r="J136" s="38" t="n"/>
      <c r="K136" s="38" t="n"/>
    </row>
    <row r="137" ht="15" customHeight="1" s="24">
      <c r="A137" s="38" t="n"/>
      <c r="B137" s="38" t="n"/>
      <c r="C137" s="38" t="n"/>
      <c r="D137" s="44" t="n"/>
      <c r="E137" s="44" t="n"/>
      <c r="F137" s="38" t="n"/>
      <c r="G137" s="38" t="n"/>
      <c r="H137" s="38" t="n"/>
      <c r="I137" s="38" t="n"/>
      <c r="J137" s="38" t="n"/>
      <c r="K137" s="38" t="n"/>
    </row>
    <row r="138" ht="15" customHeight="1" s="24">
      <c r="A138" s="38" t="n"/>
      <c r="B138" s="38" t="n"/>
      <c r="C138" s="38" t="n"/>
      <c r="D138" s="44" t="n"/>
      <c r="E138" s="44" t="n"/>
      <c r="F138" s="38" t="n"/>
      <c r="G138" s="38" t="n"/>
      <c r="H138" s="38" t="n"/>
      <c r="I138" s="38" t="n"/>
      <c r="J138" s="38" t="n"/>
      <c r="K138" s="38" t="n"/>
    </row>
    <row r="139" ht="15" customHeight="1" s="24">
      <c r="A139" s="38" t="n"/>
      <c r="B139" s="38" t="n"/>
      <c r="C139" s="38" t="n"/>
      <c r="D139" s="44" t="n"/>
      <c r="E139" s="44" t="n"/>
      <c r="F139" s="38" t="n"/>
      <c r="G139" s="38" t="n"/>
      <c r="H139" s="38" t="n"/>
      <c r="I139" s="38" t="n"/>
      <c r="J139" s="38" t="n"/>
      <c r="K139" s="38" t="n"/>
    </row>
    <row r="140" ht="15" customHeight="1" s="24">
      <c r="A140" s="38" t="n"/>
      <c r="B140" s="38" t="n"/>
      <c r="C140" s="38" t="n"/>
      <c r="D140" s="44" t="n"/>
      <c r="E140" s="44" t="n"/>
      <c r="F140" s="38" t="n"/>
      <c r="G140" s="38" t="n"/>
      <c r="H140" s="38" t="n"/>
      <c r="I140" s="38" t="n"/>
      <c r="J140" s="38" t="n"/>
      <c r="K140" s="38" t="n"/>
    </row>
    <row r="141" ht="15" customHeight="1" s="24">
      <c r="A141" s="38" t="n"/>
      <c r="B141" s="38" t="n"/>
      <c r="C141" s="38" t="n"/>
      <c r="D141" s="44" t="n"/>
      <c r="E141" s="44" t="n"/>
      <c r="F141" s="38" t="n"/>
      <c r="G141" s="38" t="n"/>
      <c r="H141" s="38" t="n"/>
      <c r="I141" s="38" t="n"/>
      <c r="J141" s="38" t="n"/>
      <c r="K141" s="38" t="n"/>
    </row>
    <row r="142" ht="15" customHeight="1" s="24">
      <c r="A142" s="38" t="n"/>
      <c r="B142" s="38" t="n"/>
      <c r="C142" s="38" t="n"/>
      <c r="D142" s="44" t="n"/>
      <c r="E142" s="44" t="n"/>
      <c r="F142" s="38" t="n"/>
      <c r="G142" s="38" t="n"/>
      <c r="H142" s="38" t="n"/>
      <c r="I142" s="38" t="n"/>
      <c r="J142" s="38" t="n"/>
      <c r="K142" s="38" t="n"/>
    </row>
    <row r="143" ht="15" customHeight="1" s="24">
      <c r="A143" s="38" t="n"/>
      <c r="B143" s="38" t="n"/>
      <c r="C143" s="38" t="n"/>
      <c r="D143" s="44" t="n"/>
      <c r="E143" s="44" t="n"/>
      <c r="F143" s="38" t="n"/>
      <c r="G143" s="38" t="n"/>
      <c r="H143" s="38" t="n"/>
      <c r="I143" s="38" t="n"/>
      <c r="J143" s="38" t="n"/>
      <c r="K143" s="38" t="n"/>
    </row>
    <row r="144" ht="15" customHeight="1" s="24">
      <c r="A144" s="38" t="n"/>
      <c r="B144" s="38" t="n"/>
      <c r="C144" s="38" t="n"/>
      <c r="D144" s="44" t="n"/>
      <c r="E144" s="44" t="n"/>
      <c r="F144" s="38" t="n"/>
      <c r="G144" s="38" t="n"/>
      <c r="H144" s="38" t="n"/>
      <c r="I144" s="38" t="n"/>
      <c r="J144" s="38" t="n"/>
      <c r="K144" s="38" t="n"/>
    </row>
    <row r="145" ht="15" customHeight="1" s="24">
      <c r="A145" s="38" t="n"/>
      <c r="B145" s="38" t="n"/>
      <c r="C145" s="38" t="n"/>
      <c r="D145" s="44" t="n"/>
      <c r="E145" s="44" t="n"/>
      <c r="F145" s="38" t="n"/>
      <c r="G145" s="38" t="n"/>
      <c r="H145" s="38" t="n"/>
      <c r="I145" s="38" t="n"/>
      <c r="J145" s="38" t="n"/>
      <c r="K145" s="38" t="n"/>
    </row>
    <row r="146" ht="15" customHeight="1" s="24">
      <c r="A146" s="38" t="n"/>
      <c r="B146" s="38" t="n"/>
      <c r="C146" s="38" t="n"/>
      <c r="D146" s="44" t="n"/>
      <c r="E146" s="44" t="n"/>
      <c r="F146" s="38" t="n"/>
      <c r="G146" s="38" t="n"/>
      <c r="H146" s="38" t="n"/>
      <c r="I146" s="38" t="n"/>
      <c r="J146" s="38" t="n"/>
      <c r="K146" s="38" t="n"/>
    </row>
    <row r="147" ht="15" customHeight="1" s="24">
      <c r="A147" s="38" t="n"/>
      <c r="B147" s="38" t="n"/>
      <c r="C147" s="38" t="n"/>
      <c r="D147" s="44" t="n"/>
      <c r="E147" s="44" t="n"/>
      <c r="F147" s="38" t="n"/>
      <c r="G147" s="38" t="n"/>
      <c r="H147" s="38" t="n"/>
      <c r="I147" s="38" t="n"/>
      <c r="J147" s="38" t="n"/>
      <c r="K147" s="38" t="n"/>
    </row>
    <row r="148" ht="15" customHeight="1" s="24">
      <c r="A148" s="38" t="n"/>
      <c r="B148" s="38" t="n"/>
      <c r="C148" s="38" t="n"/>
      <c r="D148" s="44" t="n"/>
      <c r="E148" s="44" t="n"/>
      <c r="F148" s="38" t="n"/>
      <c r="G148" s="38" t="n"/>
      <c r="H148" s="38" t="n"/>
      <c r="I148" s="38" t="n"/>
      <c r="J148" s="38" t="n"/>
      <c r="K148" s="38" t="n"/>
    </row>
    <row r="149" ht="15" customHeight="1" s="24">
      <c r="A149" s="38" t="n"/>
      <c r="B149" s="38" t="n"/>
      <c r="C149" s="38" t="n"/>
      <c r="D149" s="44" t="n"/>
      <c r="E149" s="44" t="n"/>
      <c r="F149" s="38" t="n"/>
      <c r="G149" s="38" t="n"/>
      <c r="H149" s="38" t="n"/>
      <c r="I149" s="38" t="n"/>
      <c r="J149" s="38" t="n"/>
      <c r="K149" s="38" t="n"/>
    </row>
    <row r="150" ht="15" customHeight="1" s="24">
      <c r="A150" s="38" t="n"/>
      <c r="B150" s="38" t="n"/>
      <c r="C150" s="38" t="n"/>
      <c r="D150" s="44" t="n"/>
      <c r="E150" s="44" t="n"/>
      <c r="F150" s="38" t="n"/>
      <c r="G150" s="38" t="n"/>
      <c r="H150" s="38" t="n"/>
      <c r="I150" s="38" t="n"/>
      <c r="J150" s="38" t="n"/>
      <c r="K150" s="38" t="n"/>
    </row>
    <row r="151" ht="15" customHeight="1" s="24">
      <c r="A151" s="38" t="n"/>
      <c r="B151" s="38" t="n"/>
      <c r="C151" s="38" t="n"/>
      <c r="D151" s="44" t="n"/>
      <c r="E151" s="44" t="n"/>
      <c r="F151" s="38" t="n"/>
      <c r="G151" s="38" t="n"/>
      <c r="H151" s="38" t="n"/>
      <c r="I151" s="38" t="n"/>
      <c r="J151" s="38" t="n"/>
      <c r="K151" s="38" t="n"/>
    </row>
    <row r="152" ht="15" customHeight="1" s="24">
      <c r="A152" s="38" t="n"/>
      <c r="B152" s="38" t="n"/>
      <c r="C152" s="38" t="n"/>
      <c r="D152" s="44" t="n"/>
      <c r="E152" s="44" t="n"/>
      <c r="F152" s="38" t="n"/>
      <c r="G152" s="38" t="n"/>
      <c r="H152" s="38" t="n"/>
      <c r="I152" s="38" t="n"/>
      <c r="J152" s="38" t="n"/>
      <c r="K152" s="38" t="n"/>
    </row>
    <row r="153" ht="15" customHeight="1" s="24">
      <c r="A153" s="38" t="n"/>
      <c r="B153" s="38" t="n"/>
      <c r="C153" s="38" t="n"/>
      <c r="D153" s="44" t="n"/>
      <c r="E153" s="44" t="n"/>
      <c r="F153" s="38" t="n"/>
      <c r="G153" s="38" t="n"/>
      <c r="H153" s="38" t="n"/>
      <c r="I153" s="38" t="n"/>
      <c r="J153" s="38" t="n"/>
      <c r="K153" s="38" t="n"/>
    </row>
    <row r="154" ht="15" customHeight="1" s="24">
      <c r="A154" s="38" t="n"/>
      <c r="B154" s="38" t="n"/>
      <c r="C154" s="38" t="n"/>
      <c r="D154" s="44" t="n"/>
      <c r="E154" s="44" t="n"/>
      <c r="F154" s="38" t="n"/>
      <c r="G154" s="38" t="n"/>
      <c r="H154" s="38" t="n"/>
      <c r="I154" s="38" t="n"/>
      <c r="J154" s="38" t="n"/>
      <c r="K154" s="38" t="n"/>
    </row>
    <row r="155" ht="15" customHeight="1" s="24">
      <c r="A155" s="38" t="n"/>
      <c r="B155" s="38" t="n"/>
      <c r="C155" s="38" t="n"/>
      <c r="D155" s="44" t="n"/>
      <c r="E155" s="44" t="n"/>
      <c r="F155" s="38" t="n"/>
      <c r="G155" s="38" t="n"/>
      <c r="H155" s="38" t="n"/>
      <c r="I155" s="38" t="n"/>
      <c r="J155" s="38" t="n"/>
      <c r="K155" s="38" t="n"/>
    </row>
    <row r="156" ht="15" customHeight="1" s="24">
      <c r="A156" s="38" t="n"/>
      <c r="B156" s="38" t="n"/>
      <c r="C156" s="38" t="n"/>
      <c r="D156" s="44" t="n"/>
      <c r="E156" s="44" t="n"/>
      <c r="F156" s="38" t="n"/>
      <c r="G156" s="38" t="n"/>
      <c r="H156" s="38" t="n"/>
      <c r="I156" s="38" t="n"/>
      <c r="J156" s="38" t="n"/>
      <c r="K156" s="38" t="n"/>
    </row>
    <row r="157" ht="15" customHeight="1" s="24">
      <c r="A157" s="38" t="n"/>
      <c r="B157" s="38" t="n"/>
      <c r="C157" s="38" t="n"/>
      <c r="D157" s="44" t="n"/>
      <c r="E157" s="44" t="n"/>
      <c r="F157" s="38" t="n"/>
      <c r="G157" s="38" t="n"/>
      <c r="H157" s="38" t="n"/>
      <c r="I157" s="38" t="n"/>
      <c r="J157" s="38" t="n"/>
      <c r="K157" s="38" t="n"/>
    </row>
    <row r="158" ht="15" customHeight="1" s="24">
      <c r="A158" s="38" t="n"/>
      <c r="B158" s="38" t="n"/>
      <c r="C158" s="38" t="n"/>
      <c r="D158" s="44" t="n"/>
      <c r="E158" s="44" t="n"/>
      <c r="F158" s="38" t="n"/>
      <c r="G158" s="38" t="n"/>
      <c r="H158" s="38" t="n"/>
      <c r="I158" s="38" t="n"/>
      <c r="J158" s="38" t="n"/>
      <c r="K158" s="38" t="n"/>
    </row>
    <row r="159" ht="15" customHeight="1" s="24">
      <c r="A159" s="38" t="n"/>
      <c r="B159" s="38" t="n"/>
      <c r="C159" s="38" t="n"/>
      <c r="D159" s="44" t="n"/>
      <c r="E159" s="44" t="n"/>
      <c r="F159" s="38" t="n"/>
      <c r="G159" s="38" t="n"/>
      <c r="H159" s="38" t="n"/>
      <c r="I159" s="38" t="n"/>
      <c r="J159" s="38" t="n"/>
      <c r="K159" s="38" t="n"/>
    </row>
    <row r="160" ht="15" customHeight="1" s="24">
      <c r="A160" s="38" t="n"/>
      <c r="B160" s="38" t="n"/>
      <c r="C160" s="38" t="n"/>
      <c r="D160" s="44" t="n"/>
      <c r="E160" s="44" t="n"/>
      <c r="F160" s="38" t="n"/>
      <c r="G160" s="38" t="n"/>
      <c r="H160" s="38" t="n"/>
      <c r="I160" s="38" t="n"/>
      <c r="J160" s="38" t="n"/>
      <c r="K160" s="38" t="n"/>
    </row>
    <row r="161" ht="15" customHeight="1" s="24">
      <c r="A161" s="38" t="n"/>
      <c r="B161" s="38" t="n"/>
      <c r="C161" s="38" t="n"/>
      <c r="D161" s="44" t="n"/>
      <c r="E161" s="44" t="n"/>
      <c r="F161" s="38" t="n"/>
      <c r="G161" s="38" t="n"/>
      <c r="H161" s="38" t="n"/>
      <c r="I161" s="38" t="n"/>
      <c r="J161" s="38" t="n"/>
      <c r="K161" s="38" t="n"/>
    </row>
    <row r="162" ht="15" customHeight="1" s="24">
      <c r="A162" s="38" t="n"/>
      <c r="B162" s="38" t="n"/>
      <c r="C162" s="38" t="n"/>
      <c r="D162" s="44" t="n"/>
      <c r="E162" s="44" t="n"/>
      <c r="F162" s="38" t="n"/>
      <c r="G162" s="38" t="n"/>
      <c r="H162" s="38" t="n"/>
      <c r="I162" s="38" t="n"/>
      <c r="J162" s="38" t="n"/>
      <c r="K162" s="38" t="n"/>
    </row>
    <row r="163" ht="15" customHeight="1" s="24">
      <c r="A163" s="38" t="n"/>
      <c r="B163" s="38" t="n"/>
      <c r="C163" s="38" t="n"/>
      <c r="D163" s="44" t="n"/>
      <c r="E163" s="44" t="n"/>
      <c r="F163" s="38" t="n"/>
      <c r="G163" s="38" t="n"/>
      <c r="H163" s="38" t="n"/>
      <c r="I163" s="38" t="n"/>
      <c r="J163" s="38" t="n"/>
      <c r="K163" s="38" t="n"/>
    </row>
    <row r="164" ht="15" customHeight="1" s="24">
      <c r="A164" s="38" t="n"/>
      <c r="B164" s="38" t="n"/>
      <c r="C164" s="38" t="n"/>
      <c r="D164" s="44" t="n"/>
      <c r="E164" s="44" t="n"/>
      <c r="F164" s="38" t="n"/>
      <c r="G164" s="38" t="n"/>
      <c r="H164" s="38" t="n"/>
      <c r="I164" s="38" t="n"/>
      <c r="J164" s="38" t="n"/>
      <c r="K164" s="38" t="n"/>
    </row>
    <row r="165" ht="15" customHeight="1" s="24">
      <c r="A165" s="38" t="n"/>
      <c r="B165" s="38" t="n"/>
      <c r="C165" s="38" t="n"/>
      <c r="D165" s="44" t="n"/>
      <c r="E165" s="44" t="n"/>
      <c r="F165" s="38" t="n"/>
      <c r="G165" s="38" t="n"/>
      <c r="H165" s="38" t="n"/>
      <c r="I165" s="38" t="n"/>
      <c r="J165" s="38" t="n"/>
      <c r="K165" s="38" t="n"/>
    </row>
    <row r="166" ht="15" customHeight="1" s="24">
      <c r="A166" s="38" t="n"/>
      <c r="B166" s="38" t="n"/>
      <c r="C166" s="38" t="n"/>
      <c r="D166" s="44" t="n"/>
      <c r="E166" s="44" t="n"/>
      <c r="F166" s="38" t="n"/>
      <c r="G166" s="38" t="n"/>
      <c r="H166" s="38" t="n"/>
      <c r="I166" s="38" t="n"/>
      <c r="J166" s="38" t="n"/>
      <c r="K166" s="38" t="n"/>
    </row>
    <row r="167" ht="15" customHeight="1" s="24">
      <c r="A167" s="38" t="n"/>
      <c r="B167" s="38" t="n"/>
      <c r="C167" s="38" t="n"/>
      <c r="D167" s="44" t="n"/>
      <c r="E167" s="44" t="n"/>
      <c r="F167" s="38" t="n"/>
      <c r="G167" s="38" t="n"/>
      <c r="H167" s="38" t="n"/>
      <c r="I167" s="38" t="n"/>
      <c r="J167" s="38" t="n"/>
      <c r="K167" s="38" t="n"/>
    </row>
    <row r="168" ht="15" customHeight="1" s="24">
      <c r="A168" s="38" t="n"/>
      <c r="B168" s="38" t="n"/>
      <c r="C168" s="38" t="n"/>
      <c r="D168" s="44" t="n"/>
      <c r="E168" s="44" t="n"/>
      <c r="F168" s="38" t="n"/>
      <c r="G168" s="38" t="n"/>
      <c r="H168" s="38" t="n"/>
      <c r="I168" s="38" t="n"/>
      <c r="J168" s="38" t="n"/>
      <c r="K168" s="38" t="n"/>
    </row>
    <row r="169" ht="15" customHeight="1" s="24">
      <c r="A169" s="38" t="n"/>
      <c r="B169" s="38" t="n"/>
      <c r="C169" s="38" t="n"/>
      <c r="D169" s="44" t="n"/>
      <c r="E169" s="44" t="n"/>
      <c r="F169" s="38" t="n"/>
      <c r="G169" s="38" t="n"/>
      <c r="H169" s="38" t="n"/>
      <c r="I169" s="38" t="n"/>
      <c r="J169" s="38" t="n"/>
      <c r="K169" s="38" t="n"/>
    </row>
    <row r="170" ht="15" customHeight="1" s="24">
      <c r="A170" s="38" t="n"/>
      <c r="B170" s="38" t="n"/>
      <c r="C170" s="38" t="n"/>
      <c r="D170" s="44" t="n"/>
      <c r="E170" s="44" t="n"/>
      <c r="F170" s="38" t="n"/>
      <c r="G170" s="38" t="n"/>
      <c r="H170" s="38" t="n"/>
      <c r="I170" s="38" t="n"/>
      <c r="J170" s="38" t="n"/>
      <c r="K170" s="38" t="n"/>
    </row>
    <row r="171" ht="15" customHeight="1" s="24">
      <c r="A171" s="38" t="n"/>
      <c r="B171" s="38" t="n"/>
      <c r="C171" s="38" t="n"/>
      <c r="D171" s="44" t="n"/>
      <c r="E171" s="44" t="n"/>
      <c r="F171" s="38" t="n"/>
      <c r="G171" s="38" t="n"/>
      <c r="H171" s="38" t="n"/>
      <c r="I171" s="38" t="n"/>
      <c r="J171" s="38" t="n"/>
      <c r="K171" s="38" t="n"/>
    </row>
    <row r="172" ht="15" customHeight="1" s="24">
      <c r="A172" s="38" t="n"/>
      <c r="B172" s="38" t="n"/>
      <c r="C172" s="38" t="n"/>
      <c r="D172" s="44" t="n"/>
      <c r="E172" s="44" t="n"/>
      <c r="F172" s="38" t="n"/>
      <c r="G172" s="38" t="n"/>
      <c r="H172" s="38" t="n"/>
      <c r="I172" s="38" t="n"/>
      <c r="J172" s="38" t="n"/>
      <c r="K172" s="38" t="n"/>
    </row>
    <row r="173" ht="15" customHeight="1" s="24">
      <c r="A173" s="38" t="n"/>
      <c r="B173" s="38" t="n"/>
      <c r="C173" s="38" t="n"/>
      <c r="D173" s="44" t="n"/>
      <c r="E173" s="44" t="n"/>
      <c r="F173" s="38" t="n"/>
      <c r="G173" s="38" t="n"/>
      <c r="H173" s="38" t="n"/>
      <c r="I173" s="38" t="n"/>
      <c r="J173" s="38" t="n"/>
      <c r="K173" s="38" t="n"/>
    </row>
    <row r="174" ht="15" customHeight="1" s="24">
      <c r="A174" s="38" t="n"/>
      <c r="B174" s="38" t="n"/>
      <c r="C174" s="38" t="n"/>
      <c r="D174" s="44" t="n"/>
      <c r="E174" s="44" t="n"/>
      <c r="F174" s="38" t="n"/>
      <c r="G174" s="38" t="n"/>
      <c r="H174" s="38" t="n"/>
      <c r="I174" s="38" t="n"/>
      <c r="J174" s="38" t="n"/>
      <c r="K174" s="38" t="n"/>
    </row>
    <row r="175" ht="15" customHeight="1" s="24">
      <c r="A175" s="38" t="n"/>
      <c r="B175" s="38" t="n"/>
      <c r="C175" s="38" t="n"/>
      <c r="D175" s="44" t="n"/>
      <c r="E175" s="44" t="n"/>
      <c r="F175" s="38" t="n"/>
      <c r="G175" s="38" t="n"/>
      <c r="H175" s="38" t="n"/>
      <c r="I175" s="38" t="n"/>
      <c r="J175" s="38" t="n"/>
      <c r="K175" s="38" t="n"/>
    </row>
    <row r="176" ht="15" customHeight="1" s="24">
      <c r="A176" s="38" t="n"/>
      <c r="B176" s="38" t="n"/>
      <c r="C176" s="38" t="n"/>
      <c r="D176" s="44" t="n"/>
      <c r="E176" s="44" t="n"/>
      <c r="F176" s="38" t="n"/>
      <c r="G176" s="38" t="n"/>
      <c r="H176" s="38" t="n"/>
      <c r="I176" s="38" t="n"/>
      <c r="J176" s="38" t="n"/>
      <c r="K176" s="38" t="n"/>
    </row>
    <row r="177" ht="15" customHeight="1" s="24">
      <c r="A177" s="38" t="n"/>
      <c r="B177" s="38" t="n"/>
      <c r="C177" s="38" t="n"/>
      <c r="D177" s="44" t="n"/>
      <c r="E177" s="44" t="n"/>
      <c r="F177" s="38" t="n"/>
      <c r="G177" s="38" t="n"/>
      <c r="H177" s="38" t="n"/>
      <c r="I177" s="38" t="n"/>
      <c r="J177" s="38" t="n"/>
      <c r="K177" s="38" t="n"/>
    </row>
    <row r="178" ht="15" customHeight="1" s="24">
      <c r="A178" s="38" t="n"/>
      <c r="B178" s="38" t="n"/>
      <c r="C178" s="38" t="n"/>
      <c r="D178" s="44" t="n"/>
      <c r="E178" s="44" t="n"/>
      <c r="F178" s="38" t="n"/>
      <c r="G178" s="38" t="n"/>
      <c r="H178" s="38" t="n"/>
      <c r="I178" s="38" t="n"/>
      <c r="J178" s="38" t="n"/>
      <c r="K178" s="38" t="n"/>
    </row>
    <row r="179" ht="15" customHeight="1" s="24">
      <c r="A179" s="38" t="n"/>
      <c r="B179" s="38" t="n"/>
      <c r="C179" s="38" t="n"/>
      <c r="D179" s="44" t="n"/>
      <c r="E179" s="44" t="n"/>
      <c r="F179" s="38" t="n"/>
      <c r="G179" s="38" t="n"/>
      <c r="H179" s="38" t="n"/>
      <c r="I179" s="38" t="n"/>
      <c r="J179" s="38" t="n"/>
      <c r="K179" s="38" t="n"/>
    </row>
    <row r="180" ht="15" customHeight="1" s="24">
      <c r="A180" s="38" t="n"/>
      <c r="B180" s="38" t="n"/>
      <c r="C180" s="38" t="n"/>
      <c r="D180" s="44" t="n"/>
      <c r="E180" s="44" t="n"/>
      <c r="F180" s="38" t="n"/>
      <c r="G180" s="38" t="n"/>
      <c r="H180" s="38" t="n"/>
      <c r="I180" s="38" t="n"/>
      <c r="J180" s="38" t="n"/>
      <c r="K180" s="38" t="n"/>
    </row>
    <row r="181" ht="15" customHeight="1" s="24">
      <c r="A181" s="38" t="n"/>
      <c r="B181" s="38" t="n"/>
      <c r="C181" s="38" t="n"/>
      <c r="D181" s="44" t="n"/>
      <c r="E181" s="44" t="n"/>
      <c r="F181" s="38" t="n"/>
      <c r="G181" s="38" t="n"/>
      <c r="H181" s="38" t="n"/>
      <c r="I181" s="38" t="n"/>
      <c r="J181" s="38" t="n"/>
      <c r="K181" s="38" t="n"/>
    </row>
    <row r="182" ht="15" customHeight="1" s="24">
      <c r="A182" s="38" t="n"/>
      <c r="B182" s="38" t="n"/>
      <c r="C182" s="38" t="n"/>
      <c r="D182" s="44" t="n"/>
      <c r="E182" s="44" t="n"/>
      <c r="F182" s="38" t="n"/>
      <c r="G182" s="38" t="n"/>
      <c r="H182" s="38" t="n"/>
      <c r="I182" s="38" t="n"/>
      <c r="J182" s="38" t="n"/>
      <c r="K182" s="38" t="n"/>
    </row>
    <row r="183" ht="15" customHeight="1" s="24">
      <c r="A183" s="38" t="n"/>
      <c r="B183" s="38" t="n"/>
      <c r="C183" s="38" t="n"/>
      <c r="D183" s="44" t="n"/>
      <c r="E183" s="44" t="n"/>
      <c r="F183" s="38" t="n"/>
      <c r="G183" s="38" t="n"/>
      <c r="H183" s="38" t="n"/>
      <c r="I183" s="38" t="n"/>
      <c r="J183" s="38" t="n"/>
      <c r="K183" s="38" t="n"/>
    </row>
    <row r="184" ht="15" customHeight="1" s="24">
      <c r="A184" s="38" t="n"/>
      <c r="B184" s="38" t="n"/>
      <c r="C184" s="38" t="n"/>
      <c r="D184" s="44" t="n"/>
      <c r="E184" s="44" t="n"/>
      <c r="F184" s="38" t="n"/>
      <c r="G184" s="38" t="n"/>
      <c r="H184" s="38" t="n"/>
      <c r="I184" s="38" t="n"/>
      <c r="J184" s="38" t="n"/>
      <c r="K184" s="38" t="n"/>
    </row>
    <row r="185" ht="15" customHeight="1" s="24">
      <c r="A185" s="38" t="n"/>
      <c r="B185" s="38" t="n"/>
      <c r="C185" s="38" t="n"/>
      <c r="D185" s="44" t="n"/>
      <c r="E185" s="44" t="n"/>
      <c r="F185" s="38" t="n"/>
      <c r="G185" s="38" t="n"/>
      <c r="H185" s="38" t="n"/>
      <c r="I185" s="38" t="n"/>
      <c r="J185" s="38" t="n"/>
      <c r="K185" s="38" t="n"/>
    </row>
    <row r="186" ht="15" customHeight="1" s="24">
      <c r="A186" s="38" t="n"/>
      <c r="B186" s="38" t="n"/>
      <c r="C186" s="38" t="n"/>
      <c r="D186" s="44" t="n"/>
      <c r="E186" s="44" t="n"/>
      <c r="F186" s="38" t="n"/>
      <c r="G186" s="38" t="n"/>
      <c r="H186" s="38" t="n"/>
      <c r="I186" s="38" t="n"/>
      <c r="J186" s="38" t="n"/>
      <c r="K186" s="38" t="n"/>
    </row>
    <row r="187" ht="15" customHeight="1" s="24">
      <c r="A187" s="38" t="n"/>
      <c r="B187" s="38" t="n"/>
      <c r="C187" s="38" t="n"/>
      <c r="D187" s="44" t="n"/>
      <c r="E187" s="44" t="n"/>
      <c r="F187" s="38" t="n"/>
      <c r="G187" s="38" t="n"/>
      <c r="H187" s="38" t="n"/>
      <c r="I187" s="38" t="n"/>
      <c r="J187" s="38" t="n"/>
      <c r="K187" s="38" t="n"/>
    </row>
    <row r="188" ht="15" customHeight="1" s="24">
      <c r="A188" s="38" t="n"/>
      <c r="B188" s="38" t="n"/>
      <c r="C188" s="38" t="n"/>
      <c r="D188" s="44" t="n"/>
      <c r="E188" s="44" t="n"/>
      <c r="F188" s="38" t="n"/>
      <c r="G188" s="38" t="n"/>
      <c r="H188" s="38" t="n"/>
      <c r="I188" s="38" t="n"/>
      <c r="J188" s="38" t="n"/>
      <c r="K188" s="38" t="n"/>
    </row>
    <row r="189" ht="15" customHeight="1" s="24">
      <c r="A189" s="38" t="n"/>
      <c r="B189" s="38" t="n"/>
      <c r="C189" s="38" t="n"/>
      <c r="D189" s="44" t="n"/>
      <c r="E189" s="44" t="n"/>
      <c r="F189" s="38" t="n"/>
      <c r="G189" s="38" t="n"/>
      <c r="H189" s="38" t="n"/>
      <c r="I189" s="38" t="n"/>
      <c r="J189" s="38" t="n"/>
      <c r="K189" s="38" t="n"/>
    </row>
    <row r="190" ht="15" customHeight="1" s="24">
      <c r="A190" s="38" t="n"/>
      <c r="B190" s="38" t="n"/>
      <c r="C190" s="38" t="n"/>
      <c r="D190" s="44" t="n"/>
      <c r="E190" s="44" t="n"/>
      <c r="F190" s="38" t="n"/>
      <c r="G190" s="38" t="n"/>
      <c r="H190" s="38" t="n"/>
      <c r="I190" s="38" t="n"/>
      <c r="J190" s="38" t="n"/>
      <c r="K190" s="38" t="n"/>
    </row>
    <row r="191" ht="15" customHeight="1" s="24">
      <c r="A191" s="38" t="n"/>
      <c r="B191" s="38" t="n"/>
      <c r="C191" s="38" t="n"/>
      <c r="D191" s="44" t="n"/>
      <c r="E191" s="44" t="n"/>
      <c r="F191" s="38" t="n"/>
      <c r="G191" s="38" t="n"/>
      <c r="H191" s="38" t="n"/>
      <c r="I191" s="38" t="n"/>
      <c r="J191" s="38" t="n"/>
      <c r="K191" s="38" t="n"/>
    </row>
    <row r="192" ht="15" customHeight="1" s="24">
      <c r="A192" s="38" t="n"/>
      <c r="B192" s="38" t="n"/>
      <c r="C192" s="38" t="n"/>
      <c r="D192" s="44" t="n"/>
      <c r="E192" s="44" t="n"/>
      <c r="F192" s="38" t="n"/>
      <c r="G192" s="38" t="n"/>
      <c r="H192" s="38" t="n"/>
      <c r="I192" s="38" t="n"/>
      <c r="J192" s="38" t="n"/>
      <c r="K192" s="38" t="n"/>
    </row>
    <row r="193" ht="15" customHeight="1" s="24">
      <c r="A193" s="38" t="n"/>
      <c r="B193" s="38" t="n"/>
      <c r="C193" s="38" t="n"/>
      <c r="D193" s="44" t="n"/>
      <c r="E193" s="44" t="n"/>
      <c r="F193" s="38" t="n"/>
      <c r="G193" s="38" t="n"/>
      <c r="H193" s="38" t="n"/>
      <c r="I193" s="38" t="n"/>
      <c r="J193" s="38" t="n"/>
      <c r="K193" s="38" t="n"/>
    </row>
    <row r="194" ht="15" customHeight="1" s="24">
      <c r="A194" s="38" t="n"/>
      <c r="B194" s="38" t="n"/>
      <c r="C194" s="38" t="n"/>
      <c r="D194" s="44" t="n"/>
      <c r="E194" s="44" t="n"/>
      <c r="F194" s="38" t="n"/>
      <c r="G194" s="38" t="n"/>
      <c r="H194" s="38" t="n"/>
      <c r="I194" s="38" t="n"/>
      <c r="J194" s="38" t="n"/>
      <c r="K194" s="38" t="n"/>
    </row>
    <row r="195" ht="15" customHeight="1" s="24">
      <c r="A195" s="38" t="n"/>
      <c r="B195" s="38" t="n"/>
      <c r="C195" s="38" t="n"/>
      <c r="D195" s="44" t="n"/>
      <c r="E195" s="44" t="n"/>
      <c r="F195" s="38" t="n"/>
      <c r="G195" s="38" t="n"/>
      <c r="H195" s="38" t="n"/>
      <c r="I195" s="38" t="n"/>
      <c r="J195" s="38" t="n"/>
      <c r="K195" s="38" t="n"/>
    </row>
    <row r="196" ht="15" customHeight="1" s="24">
      <c r="A196" s="38" t="n"/>
      <c r="B196" s="38" t="n"/>
      <c r="C196" s="38" t="n"/>
      <c r="D196" s="44" t="n"/>
      <c r="E196" s="44" t="n"/>
      <c r="F196" s="38" t="n"/>
      <c r="G196" s="38" t="n"/>
      <c r="H196" s="38" t="n"/>
      <c r="I196" s="38" t="n"/>
      <c r="J196" s="38" t="n"/>
      <c r="K196" s="38" t="n"/>
    </row>
    <row r="197" ht="15" customHeight="1" s="24">
      <c r="A197" s="38" t="n"/>
      <c r="B197" s="38" t="n"/>
      <c r="C197" s="38" t="n"/>
      <c r="D197" s="44" t="n"/>
      <c r="E197" s="44" t="n"/>
      <c r="F197" s="38" t="n"/>
      <c r="G197" s="38" t="n"/>
      <c r="H197" s="38" t="n"/>
      <c r="I197" s="38" t="n"/>
      <c r="J197" s="38" t="n"/>
      <c r="K197" s="38" t="n"/>
    </row>
    <row r="198" ht="15" customHeight="1" s="24">
      <c r="A198" s="38" t="n"/>
      <c r="B198" s="38" t="n"/>
      <c r="C198" s="38" t="n"/>
      <c r="D198" s="44" t="n"/>
      <c r="E198" s="44" t="n"/>
      <c r="F198" s="38" t="n"/>
      <c r="G198" s="38" t="n"/>
      <c r="H198" s="38" t="n"/>
      <c r="I198" s="38" t="n"/>
      <c r="J198" s="38" t="n"/>
      <c r="K198" s="38" t="n"/>
    </row>
    <row r="199" ht="15" customHeight="1" s="24">
      <c r="A199" s="38" t="n"/>
      <c r="B199" s="38" t="n"/>
      <c r="C199" s="38" t="n"/>
      <c r="D199" s="44" t="n"/>
      <c r="E199" s="44" t="n"/>
      <c r="F199" s="38" t="n"/>
      <c r="G199" s="38" t="n"/>
      <c r="H199" s="38" t="n"/>
      <c r="I199" s="38" t="n"/>
      <c r="J199" s="38" t="n"/>
      <c r="K199" s="38" t="n"/>
    </row>
    <row r="200" ht="15" customHeight="1" s="24">
      <c r="A200" s="38" t="n"/>
      <c r="B200" s="38" t="n"/>
      <c r="C200" s="38" t="n"/>
      <c r="D200" s="44" t="n"/>
      <c r="E200" s="44" t="n"/>
      <c r="F200" s="38" t="n"/>
      <c r="G200" s="38" t="n"/>
      <c r="H200" s="38" t="n"/>
      <c r="I200" s="38" t="n"/>
      <c r="J200" s="38" t="n"/>
      <c r="K200" s="38" t="n"/>
    </row>
    <row r="201" ht="15" customHeight="1" s="24">
      <c r="A201" s="38" t="n"/>
      <c r="B201" s="38" t="n"/>
      <c r="C201" s="38" t="n"/>
      <c r="D201" s="44" t="n"/>
      <c r="E201" s="44" t="n"/>
      <c r="F201" s="38" t="n"/>
      <c r="G201" s="38" t="n"/>
      <c r="H201" s="38" t="n"/>
      <c r="I201" s="38" t="n"/>
      <c r="J201" s="38" t="n"/>
      <c r="K201" s="38" t="n"/>
    </row>
  </sheetData>
  <dataValidations count="2">
    <dataValidation sqref="G2:G201" showDropDown="0" showInputMessage="0" showErrorMessage="0" allowBlank="1" type="list" errorStyle="stop" operator="between">
      <formula1>"문앞,택배수령실,공동현관(대문)앞,기타"</formula1>
      <formula2>0</formula2>
    </dataValidation>
    <dataValidation sqref="H2:H201" showDropDown="0" showInputMessage="0" showErrorMessage="0" allowBlank="1" type="list" errorStyle="stop" operator="between">
      <formula1>"공동현관비밀번호,경비실호출,자유출입,기타"</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2" customWidth="1" style="24" min="1" max="1"/>
    <col width="20" customWidth="1" style="24" min="2" max="2"/>
    <col width="8" customWidth="1" style="24" min="3" max="3"/>
    <col width="12" customWidth="1" style="24" min="4" max="4"/>
    <col width="12" customWidth="1" style="24" min="5" max="5"/>
    <col width="12" customWidth="1" style="24" min="6" max="6"/>
    <col width="9" customWidth="1" style="24" min="7" max="7"/>
    <col width="9" customWidth="1" style="24" min="8" max="8"/>
    <col width="9" customWidth="1" style="24" min="9" max="9"/>
    <col width="9" customWidth="1" style="24" min="10" max="10"/>
    <col width="30" customWidth="1" style="24" min="11" max="11"/>
  </cols>
  <sheetData>
    <row r="1">
      <c r="A1" s="55" t="inlineStr">
        <is>
          <t>회차ID</t>
        </is>
      </c>
      <c r="B1" s="55" t="inlineStr">
        <is>
          <t>재료명</t>
        </is>
      </c>
      <c r="C1" s="55" t="inlineStr">
        <is>
          <t>보관</t>
        </is>
      </c>
      <c r="D1" s="55" t="inlineStr">
        <is>
          <t>발주처</t>
        </is>
      </c>
      <c r="E1" s="55" t="inlineStr">
        <is>
          <t>발주일</t>
        </is>
      </c>
      <c r="F1" s="55" t="inlineStr">
        <is>
          <t>입고예정</t>
        </is>
      </c>
      <c r="G1" s="55" t="inlineStr">
        <is>
          <t>주문완료</t>
        </is>
      </c>
      <c r="H1" s="55" t="inlineStr">
        <is>
          <t>입고완료</t>
        </is>
      </c>
      <c r="I1" s="55" t="inlineStr">
        <is>
          <t>주문량</t>
        </is>
      </c>
      <c r="J1" s="55" t="inlineStr">
        <is>
          <t>실제금액</t>
        </is>
      </c>
      <c r="K1" s="55" t="inlineStr">
        <is>
          <t>재고사용</t>
        </is>
      </c>
      <c r="L1" s="55" t="inlineStr">
        <is>
          <t>비고</t>
        </is>
      </c>
    </row>
    <row r="2">
      <c r="A2" s="56" t="inlineStr">
        <is>
          <t>※ 재료명은 회차 QDATA의 재료명과 정확히 일치해야 발주표에 연결됩니다</t>
        </is>
      </c>
    </row>
    <row r="3">
      <c r="A3" s="23" t="inlineStr">
        <is>
          <t>GS-2607</t>
        </is>
      </c>
      <c r="B3" s="23" t="inlineStr">
        <is>
          <t>브리치즈</t>
        </is>
      </c>
      <c r="C3" s="23" t="inlineStr">
        <is>
          <t>냉장</t>
        </is>
      </c>
      <c r="D3" s="23" t="inlineStr">
        <is>
          <t>쿠팡</t>
        </is>
      </c>
      <c r="E3" s="23" t="inlineStr">
        <is>
          <t>2026-07-16</t>
        </is>
      </c>
      <c r="F3" s="23" t="inlineStr">
        <is>
          <t>2026-07-21</t>
        </is>
      </c>
      <c r="G3" s="23" t="inlineStr">
        <is>
          <t>완료</t>
        </is>
      </c>
      <c r="H3" s="23" t="inlineStr">
        <is>
          <t>완료</t>
        </is>
      </c>
      <c r="I3" s="23" t="n">
        <v>875</v>
      </c>
      <c r="J3" s="23" t="n">
        <v>57650</v>
      </c>
      <c r="K3" s="23" t="inlineStr"/>
      <c r="L3" s="23" t="inlineStr">
        <is>
          <t>1차 7/16 코스트코미니브리 250g×2세트=500g/32,750원(배송비포함) + 2차 7/21 코스트코미니브리 375g×1봉=375g/24,900원(배송비0) = 총 875g/57,650원 · 필요775g 충족(여유100g) · 구매시점 적합상품 선택</t>
        </is>
      </c>
    </row>
    <row r="4">
      <c r="A4" s="23" t="inlineStr">
        <is>
          <t>GS-2607</t>
        </is>
      </c>
      <c r="B4" s="23" t="inlineStr">
        <is>
          <t>천도복숭아(수제청)</t>
        </is>
      </c>
      <c r="C4" s="23" t="inlineStr">
        <is>
          <t>냉장</t>
        </is>
      </c>
      <c r="D4" s="23" t="inlineStr">
        <is>
          <t>쿠팡</t>
        </is>
      </c>
      <c r="E4" s="23" t="inlineStr">
        <is>
          <t>2026-07-20~21</t>
        </is>
      </c>
      <c r="F4" s="23" t="inlineStr">
        <is>
          <t>2026-07-22</t>
        </is>
      </c>
      <c r="G4" s="23" t="inlineStr">
        <is>
          <t>완료</t>
        </is>
      </c>
      <c r="H4" s="23" t="n"/>
      <c r="I4" s="23" t="n">
        <v>20000</v>
      </c>
      <c r="J4" s="23" t="n">
        <v>120858</v>
      </c>
    </row>
    <row r="5">
      <c r="A5" s="23" t="inlineStr">
        <is>
          <t>GS-2607</t>
        </is>
      </c>
      <c r="B5" s="23" t="inlineStr">
        <is>
          <t>천도복숭아(조림)</t>
        </is>
      </c>
      <c r="C5" s="23" t="inlineStr">
        <is>
          <t>냉장</t>
        </is>
      </c>
      <c r="D5" s="23" t="inlineStr">
        <is>
          <t>쿠팡</t>
        </is>
      </c>
      <c r="E5" s="23" t="inlineStr">
        <is>
          <t>2026-07-20~21</t>
        </is>
      </c>
      <c r="F5" s="23" t="inlineStr">
        <is>
          <t>2026-07-22</t>
        </is>
      </c>
      <c r="G5" s="23" t="inlineStr">
        <is>
          <t>완료</t>
        </is>
      </c>
      <c r="H5" s="23" t="n"/>
      <c r="I5" s="23" t="n">
        <v>4000</v>
      </c>
      <c r="J5" s="23" t="n">
        <v>24172</v>
      </c>
    </row>
    <row r="6">
      <c r="A6" s="23" t="inlineStr">
        <is>
          <t>GS-2607</t>
        </is>
      </c>
      <c r="B6" s="23" t="inlineStr">
        <is>
          <t>설탕(수제청)</t>
        </is>
      </c>
      <c r="C6" s="23" t="inlineStr">
        <is>
          <t>실온</t>
        </is>
      </c>
      <c r="D6" s="23" t="inlineStr">
        <is>
          <t>쿠팡</t>
        </is>
      </c>
      <c r="E6" s="23" t="inlineStr">
        <is>
          <t>2026-07-20~21</t>
        </is>
      </c>
      <c r="F6" s="23" t="inlineStr">
        <is>
          <t>2026-07-22</t>
        </is>
      </c>
      <c r="G6" s="23" t="inlineStr">
        <is>
          <t>완료</t>
        </is>
      </c>
      <c r="H6" s="23" t="n"/>
      <c r="I6" s="23" t="n">
        <v>10000</v>
      </c>
      <c r="J6" s="23" t="n">
        <v>22500</v>
      </c>
    </row>
    <row r="7">
      <c r="A7" s="23" t="inlineStr">
        <is>
          <t>GS-2607</t>
        </is>
      </c>
      <c r="B7" s="23" t="inlineStr">
        <is>
          <t>설탕(소스)</t>
        </is>
      </c>
      <c r="C7" s="23" t="inlineStr">
        <is>
          <t>실온</t>
        </is>
      </c>
      <c r="K7" s="23" t="inlineStr">
        <is>
          <t>재고</t>
        </is>
      </c>
    </row>
    <row r="8">
      <c r="A8" s="23" t="inlineStr">
        <is>
          <t>GS-2607</t>
        </is>
      </c>
      <c r="B8" s="23" t="inlineStr">
        <is>
          <t>유리병 500ml</t>
        </is>
      </c>
      <c r="C8" s="23" t="inlineStr">
        <is>
          <t>실온</t>
        </is>
      </c>
      <c r="D8" s="23" t="inlineStr">
        <is>
          <t>쿠팡</t>
        </is>
      </c>
      <c r="E8" s="23" t="inlineStr">
        <is>
          <t>2026-07-20~21</t>
        </is>
      </c>
      <c r="F8" s="23" t="inlineStr">
        <is>
          <t>2026-07-22</t>
        </is>
      </c>
      <c r="G8" s="23" t="inlineStr">
        <is>
          <t>완료</t>
        </is>
      </c>
      <c r="H8" s="23" t="n"/>
      <c r="I8" s="23" t="n">
        <v>36</v>
      </c>
      <c r="J8" s="23" t="n">
        <v>36300</v>
      </c>
    </row>
    <row r="9">
      <c r="A9" s="23" t="inlineStr">
        <is>
          <t>GS-2607</t>
        </is>
      </c>
      <c r="B9" s="23" t="inlineStr">
        <is>
          <t>올리브오일</t>
        </is>
      </c>
      <c r="C9" s="23" t="inlineStr">
        <is>
          <t>실온</t>
        </is>
      </c>
      <c r="D9" s="23" t="inlineStr">
        <is>
          <t>쿠팡</t>
        </is>
      </c>
      <c r="E9" s="23" t="inlineStr">
        <is>
          <t>2026-07-20~21</t>
        </is>
      </c>
      <c r="F9" s="23" t="inlineStr">
        <is>
          <t>2026-07-22</t>
        </is>
      </c>
      <c r="G9" s="23" t="inlineStr">
        <is>
          <t>완료</t>
        </is>
      </c>
      <c r="H9" s="23" t="n"/>
      <c r="I9" s="23" t="n">
        <v>2000</v>
      </c>
      <c r="J9" s="23" t="n">
        <v>29940</v>
      </c>
    </row>
    <row r="10">
      <c r="A10" s="23" t="inlineStr">
        <is>
          <t>GS-2607</t>
        </is>
      </c>
      <c r="B10" s="23" t="inlineStr">
        <is>
          <t>홀그레인머스타드</t>
        </is>
      </c>
      <c r="C10" s="23" t="inlineStr">
        <is>
          <t>냉장</t>
        </is>
      </c>
      <c r="D10" s="23" t="inlineStr">
        <is>
          <t>쿠팡</t>
        </is>
      </c>
      <c r="E10" s="23" t="inlineStr">
        <is>
          <t>2026-07-20~21</t>
        </is>
      </c>
      <c r="F10" s="23" t="inlineStr">
        <is>
          <t>2026-07-22</t>
        </is>
      </c>
      <c r="G10" s="23" t="inlineStr">
        <is>
          <t>완료</t>
        </is>
      </c>
      <c r="H10" s="23" t="n"/>
      <c r="I10" s="23" t="n">
        <v>420</v>
      </c>
      <c r="J10" s="23" t="n">
        <v>11540</v>
      </c>
    </row>
    <row r="11">
      <c r="A11" s="23" t="inlineStr">
        <is>
          <t>GS-2607</t>
        </is>
      </c>
      <c r="B11" s="23" t="inlineStr">
        <is>
          <t>레몬즙</t>
        </is>
      </c>
      <c r="C11" s="23" t="inlineStr">
        <is>
          <t>실온</t>
        </is>
      </c>
      <c r="D11" s="23" t="inlineStr">
        <is>
          <t>쿠팡</t>
        </is>
      </c>
      <c r="E11" s="23" t="inlineStr">
        <is>
          <t>2026-07-20</t>
        </is>
      </c>
      <c r="F11" s="23" t="inlineStr">
        <is>
          <t>2026-07-21</t>
        </is>
      </c>
      <c r="G11" s="23" t="inlineStr">
        <is>
          <t>완료</t>
        </is>
      </c>
      <c r="I11" s="23" t="n">
        <v>1000</v>
      </c>
      <c r="J11" s="23" t="n">
        <v>6000</v>
      </c>
    </row>
    <row r="12">
      <c r="A12" s="23" t="inlineStr">
        <is>
          <t>GS-2607</t>
        </is>
      </c>
      <c r="B12" s="23" t="inlineStr">
        <is>
          <t>로메인</t>
        </is>
      </c>
      <c r="C12" s="23" t="inlineStr">
        <is>
          <t>냉장</t>
        </is>
      </c>
      <c r="D12" s="23" t="inlineStr">
        <is>
          <t>쿠팡</t>
        </is>
      </c>
      <c r="E12" s="23" t="inlineStr">
        <is>
          <t>2026-07-21</t>
        </is>
      </c>
      <c r="F12" s="23" t="inlineStr">
        <is>
          <t>2026-07-22</t>
        </is>
      </c>
      <c r="G12" s="23" t="inlineStr">
        <is>
          <t>완료</t>
        </is>
      </c>
      <c r="I12" s="23" t="n">
        <v>1600</v>
      </c>
      <c r="J12" s="23" t="n">
        <v>28760</v>
      </c>
    </row>
    <row r="13">
      <c r="A13" s="23" t="inlineStr">
        <is>
          <t>GS-2607</t>
        </is>
      </c>
      <c r="B13" s="23" t="inlineStr">
        <is>
          <t>와일드 루꼴라</t>
        </is>
      </c>
      <c r="C13" s="23" t="inlineStr">
        <is>
          <t>냉장</t>
        </is>
      </c>
      <c r="D13" s="23" t="inlineStr">
        <is>
          <t>쿠팡</t>
        </is>
      </c>
      <c r="E13" s="23" t="inlineStr">
        <is>
          <t>2026-07-21</t>
        </is>
      </c>
      <c r="F13" s="23" t="inlineStr">
        <is>
          <t>2026-07-22</t>
        </is>
      </c>
      <c r="G13" s="23" t="inlineStr">
        <is>
          <t>완료</t>
        </is>
      </c>
      <c r="I13" s="23" t="n">
        <v>1000</v>
      </c>
      <c r="J13" s="23" t="n">
        <v>31610</v>
      </c>
    </row>
    <row r="14">
      <c r="A14" s="23" t="inlineStr">
        <is>
          <t>GS-2607</t>
        </is>
      </c>
      <c r="B14" s="23" t="inlineStr">
        <is>
          <t>식초</t>
        </is>
      </c>
      <c r="C14" s="23" t="inlineStr">
        <is>
          <t>실온</t>
        </is>
      </c>
      <c r="D14" s="23" t="inlineStr">
        <is>
          <t>쿠팡</t>
        </is>
      </c>
      <c r="E14" s="23" t="inlineStr">
        <is>
          <t>2026-07-21</t>
        </is>
      </c>
      <c r="F14" s="23" t="inlineStr">
        <is>
          <t>2026-07-22</t>
        </is>
      </c>
      <c r="G14" s="23" t="inlineStr">
        <is>
          <t>완료</t>
        </is>
      </c>
      <c r="I14" s="23" t="n">
        <v>900</v>
      </c>
      <c r="J14" s="23" t="n">
        <v>3280</v>
      </c>
    </row>
    <row r="15">
      <c r="A15" t="inlineStr">
        <is>
          <t>GS-2607</t>
        </is>
      </c>
      <c r="B15" t="inlineStr">
        <is>
          <t>설탕(조림)</t>
        </is>
      </c>
      <c r="C15" t="inlineStr">
        <is>
          <t>실온</t>
        </is>
      </c>
      <c r="K15" t="inlineStr">
        <is>
          <t>재고</t>
        </is>
      </c>
    </row>
    <row r="16">
      <c r="A16" t="inlineStr">
        <is>
          <t>GS-2607</t>
        </is>
      </c>
      <c r="B16" t="inlineStr">
        <is>
          <t>레몬즙(조림)</t>
        </is>
      </c>
      <c r="C16" t="inlineStr">
        <is>
          <t>실온</t>
        </is>
      </c>
      <c r="D16" t="inlineStr">
        <is>
          <t>쿠팡</t>
        </is>
      </c>
      <c r="E16" t="inlineStr">
        <is>
          <t>2026-07-21</t>
        </is>
      </c>
      <c r="F16" t="inlineStr">
        <is>
          <t>2026-07-22</t>
        </is>
      </c>
      <c r="G16" t="inlineStr">
        <is>
          <t>완료</t>
        </is>
      </c>
      <c r="I16" t="n">
        <v>1000</v>
      </c>
      <c r="J16" t="n">
        <v>6980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2026-07-07T02:11:17Z</dcterms:created>
  <dcterms:modified xmlns:dcterms="http://purl.org/dc/terms/" xmlns:xsi="http://www.w3.org/2001/XMLSchema-instance" xsi:type="dcterms:W3CDTF">2026-07-21T12:57:52Z</dcterms:modified>
  <cp:revision>0</cp:revision>
</cp:coreProperties>
</file>